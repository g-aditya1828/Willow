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ditya\5th semester\SE\willlow\docs\"/>
    </mc:Choice>
  </mc:AlternateContent>
  <xr:revisionPtr revIDLastSave="0" documentId="13_ncr:1_{CE1A4BA3-DB4C-45D3-A7B2-164BAF91617E}" xr6:coauthVersionLast="47" xr6:coauthVersionMax="47" xr10:uidLastSave="{00000000-0000-0000-0000-000000000000}"/>
  <bookViews>
    <workbookView xWindow="-108" yWindow="-108" windowWidth="23256" windowHeight="12456" tabRatio="500" xr2:uid="{00000000-000D-0000-FFFF-FFFF00000000}"/>
  </bookViews>
  <sheets>
    <sheet name="ProjectSchedule" sheetId="1" r:id="rId1"/>
    <sheet name="About" sheetId="2" r:id="rId2"/>
  </sheets>
  <definedNames>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N5" i="1" l="1"/>
  <c r="BO5" i="1"/>
  <c r="BP5" i="1"/>
  <c r="BP6" i="1" s="1"/>
  <c r="BN6" i="1"/>
  <c r="BO6" i="1"/>
  <c r="BM4" i="1"/>
  <c r="BM5" i="1"/>
  <c r="BM6" i="1"/>
  <c r="B13" i="2"/>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I6" i="1"/>
  <c r="I5" i="1"/>
  <c r="J5" i="1" s="1"/>
  <c r="I4" i="1"/>
  <c r="J1" i="1"/>
  <c r="BQ5" i="1" l="1"/>
  <c r="K5" i="1"/>
  <c r="J6" i="1"/>
  <c r="BQ6" i="1" l="1"/>
  <c r="BR5" i="1"/>
  <c r="L5" i="1"/>
  <c r="K6" i="1"/>
  <c r="BS5" i="1" l="1"/>
  <c r="BR6" i="1"/>
  <c r="L6" i="1"/>
  <c r="M5" i="1"/>
  <c r="BS6" i="1" l="1"/>
  <c r="BT5" i="1"/>
  <c r="N5" i="1"/>
  <c r="M6" i="1"/>
  <c r="BU5" i="1" l="1"/>
  <c r="BT6" i="1"/>
  <c r="O5" i="1"/>
  <c r="N6" i="1"/>
  <c r="BU6" i="1" l="1"/>
  <c r="BV5" i="1"/>
  <c r="BT4" i="1"/>
  <c r="O6" i="1"/>
  <c r="P5" i="1"/>
  <c r="BV6" i="1" l="1"/>
  <c r="BW5" i="1"/>
  <c r="P6" i="1"/>
  <c r="Q5" i="1"/>
  <c r="P4" i="1"/>
  <c r="BW6" i="1" l="1"/>
  <c r="BX5" i="1"/>
  <c r="Q6" i="1"/>
  <c r="R5" i="1"/>
  <c r="BX6" i="1" l="1"/>
  <c r="BY5" i="1"/>
  <c r="S5" i="1"/>
  <c r="R6" i="1"/>
  <c r="BZ5" i="1" l="1"/>
  <c r="BY6" i="1"/>
  <c r="S6" i="1"/>
  <c r="T5" i="1"/>
  <c r="CA5" i="1" l="1"/>
  <c r="BZ6" i="1"/>
  <c r="T6" i="1"/>
  <c r="U5" i="1"/>
  <c r="CA6" i="1" l="1"/>
  <c r="CB5" i="1"/>
  <c r="V5" i="1"/>
  <c r="U6" i="1"/>
  <c r="CB6" i="1" l="1"/>
  <c r="CC5" i="1"/>
  <c r="CA4" i="1"/>
  <c r="W5" i="1"/>
  <c r="V6" i="1"/>
  <c r="CC6" i="1" l="1"/>
  <c r="CD5" i="1"/>
  <c r="X5" i="1"/>
  <c r="W6" i="1"/>
  <c r="W4" i="1"/>
  <c r="CD6" i="1" l="1"/>
  <c r="CE5" i="1"/>
  <c r="Y5" i="1"/>
  <c r="X6" i="1"/>
  <c r="CF5" i="1" l="1"/>
  <c r="CE6" i="1"/>
  <c r="Y6" i="1"/>
  <c r="Z5" i="1"/>
  <c r="CF6" i="1" l="1"/>
  <c r="CG5" i="1"/>
  <c r="Z6" i="1"/>
  <c r="AA5" i="1"/>
  <c r="CH5" i="1" l="1"/>
  <c r="CG6" i="1"/>
  <c r="AA6" i="1"/>
  <c r="AB5" i="1"/>
  <c r="CH6" i="1" l="1"/>
  <c r="CI5" i="1"/>
  <c r="AB6" i="1"/>
  <c r="AC5" i="1"/>
  <c r="CJ5" i="1" l="1"/>
  <c r="CI6" i="1"/>
  <c r="CH4" i="1"/>
  <c r="AC6" i="1"/>
  <c r="AD5" i="1"/>
  <c r="CJ6" i="1" l="1"/>
  <c r="CK5" i="1"/>
  <c r="AD4" i="1"/>
  <c r="AD6" i="1"/>
  <c r="AE5" i="1"/>
  <c r="CL5" i="1" l="1"/>
  <c r="CK6" i="1"/>
  <c r="AE6" i="1"/>
  <c r="AF5" i="1"/>
  <c r="CM5" i="1" l="1"/>
  <c r="CL6" i="1"/>
  <c r="AF6" i="1"/>
  <c r="AG5" i="1"/>
  <c r="CM6" i="1" l="1"/>
  <c r="CN5" i="1"/>
  <c r="AH5" i="1"/>
  <c r="AG6" i="1"/>
  <c r="CN6" i="1" l="1"/>
  <c r="CO5" i="1"/>
  <c r="AI5" i="1"/>
  <c r="AH6" i="1"/>
  <c r="CO6" i="1" l="1"/>
  <c r="CP5" i="1"/>
  <c r="AJ5" i="1"/>
  <c r="AI6" i="1"/>
  <c r="CP6" i="1" l="1"/>
  <c r="CQ5" i="1"/>
  <c r="CO4" i="1"/>
  <c r="AJ6" i="1"/>
  <c r="AK5" i="1"/>
  <c r="CQ6" i="1" l="1"/>
  <c r="CR5" i="1"/>
  <c r="AK4" i="1"/>
  <c r="AL5" i="1"/>
  <c r="AK6" i="1"/>
  <c r="CS5" i="1" l="1"/>
  <c r="CR6" i="1"/>
  <c r="AM5" i="1"/>
  <c r="AL6" i="1"/>
  <c r="CT5" i="1" l="1"/>
  <c r="CS6" i="1"/>
  <c r="AM6" i="1"/>
  <c r="AN5" i="1"/>
  <c r="CT6" i="1" l="1"/>
  <c r="CU5" i="1"/>
  <c r="AN6" i="1"/>
  <c r="AO5" i="1"/>
  <c r="CU6" i="1" l="1"/>
  <c r="CV5" i="1"/>
  <c r="AP5" i="1"/>
  <c r="AO6" i="1"/>
  <c r="CV6" i="1" l="1"/>
  <c r="CW5" i="1"/>
  <c r="AQ5" i="1"/>
  <c r="AP6" i="1"/>
  <c r="CX5" i="1" l="1"/>
  <c r="CW6" i="1"/>
  <c r="CV4" i="1"/>
  <c r="AR5" i="1"/>
  <c r="AQ6" i="1"/>
  <c r="CY5" i="1" l="1"/>
  <c r="CX6" i="1"/>
  <c r="AR4" i="1"/>
  <c r="AS5" i="1"/>
  <c r="AR6" i="1"/>
  <c r="CZ5" i="1" l="1"/>
  <c r="CY6" i="1"/>
  <c r="AT5" i="1"/>
  <c r="AS6" i="1"/>
  <c r="CZ6" i="1" l="1"/>
  <c r="DA5" i="1"/>
  <c r="AU5" i="1"/>
  <c r="AT6" i="1"/>
  <c r="DA6" i="1" l="1"/>
  <c r="DB5" i="1"/>
  <c r="AV5" i="1"/>
  <c r="AU6" i="1"/>
  <c r="DB6" i="1" l="1"/>
  <c r="DC5" i="1"/>
  <c r="AV6" i="1"/>
  <c r="AW5" i="1"/>
  <c r="DD5" i="1" l="1"/>
  <c r="DC6" i="1"/>
  <c r="AX5" i="1"/>
  <c r="AW6" i="1"/>
  <c r="DD6" i="1" l="1"/>
  <c r="DE5" i="1"/>
  <c r="DC4" i="1"/>
  <c r="AY5" i="1"/>
  <c r="AX6" i="1"/>
  <c r="DE6" i="1" l="1"/>
  <c r="DF5" i="1"/>
  <c r="AY6" i="1"/>
  <c r="AZ5" i="1"/>
  <c r="AY4" i="1"/>
  <c r="DF6" i="1" l="1"/>
  <c r="DG5" i="1"/>
  <c r="AZ6" i="1"/>
  <c r="BA5" i="1"/>
  <c r="DG6" i="1" l="1"/>
  <c r="DH5" i="1"/>
  <c r="BB5" i="1"/>
  <c r="BA6" i="1"/>
  <c r="DH6" i="1" l="1"/>
  <c r="DI5" i="1"/>
  <c r="DI6" i="1" s="1"/>
  <c r="BB6" i="1"/>
  <c r="BC5" i="1"/>
  <c r="BC6" i="1" l="1"/>
  <c r="BD5" i="1"/>
  <c r="BD6" i="1" l="1"/>
  <c r="BE5" i="1"/>
  <c r="BF5" i="1" l="1"/>
  <c r="BE6" i="1"/>
  <c r="BG5" i="1" l="1"/>
  <c r="BF4" i="1"/>
  <c r="BF6" i="1"/>
  <c r="BH5" i="1" l="1"/>
  <c r="BG6" i="1"/>
  <c r="BI5" i="1" l="1"/>
  <c r="BH6" i="1"/>
  <c r="BJ5" i="1" l="1"/>
  <c r="BI6" i="1"/>
  <c r="BJ6" i="1" l="1"/>
  <c r="BK5" i="1"/>
  <c r="BK6" i="1" l="1"/>
  <c r="BL5" i="1"/>
  <c r="BL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H6" authorId="0" shapeId="0" xr:uid="{00000000-0006-0000-0000-000001000000}">
      <text>
        <r>
          <rPr>
            <sz val="10"/>
            <rFont val="Arial"/>
            <family val="2"/>
          </rPr>
          <t>DAYS:
This column calculates the duration of the task in calendar days. The duration includes both the Start and End dates.</t>
        </r>
      </text>
    </comment>
  </commentList>
</comments>
</file>

<file path=xl/sharedStrings.xml><?xml version="1.0" encoding="utf-8"?>
<sst xmlns="http://schemas.openxmlformats.org/spreadsheetml/2006/main" count="74" uniqueCount="59">
  <si>
    <t>Project Start:</t>
  </si>
  <si>
    <t>Today:</t>
  </si>
  <si>
    <t>Display Week:</t>
  </si>
  <si>
    <t>TASK</t>
  </si>
  <si>
    <t>ASSIGNED
TO</t>
  </si>
  <si>
    <t>PROGRESS</t>
  </si>
  <si>
    <t>START</t>
  </si>
  <si>
    <t>END</t>
  </si>
  <si>
    <t>DAYS</t>
  </si>
  <si>
    <t>Phase 1: Scope &amp; Data Foundation (Wk 1-3)</t>
  </si>
  <si>
    <t>Finalize MVP scope &amp; requirements doc</t>
  </si>
  <si>
    <t>Set up repo, dev environment, CI skeleton</t>
  </si>
  <si>
    <t>Open Food Facts pull + frequency-ranked list</t>
  </si>
  <si>
    <t>FSSAI compendium parsing (INS codes/limits)</t>
  </si>
  <si>
    <t>Phase 2: Core Extraction Pipeline (Wk 4-6)</t>
  </si>
  <si>
    <t>Extractor interface + Tesseract fallback</t>
  </si>
  <si>
    <t>Ingredient text parser (comma/paren split)</t>
  </si>
  <si>
    <t>Real-photo accuracy test: Tesseract vs. vision APIs</t>
  </si>
  <si>
    <t>Phase 3: Classification &amp; Scoring Engine (Wk 7-9)</t>
  </si>
  <si>
    <t>Category-config database schema</t>
  </si>
  <si>
    <t>Alias/normalization matching (embeddings)</t>
  </si>
  <si>
    <t>Harmful-ingredient classification logic</t>
  </si>
  <si>
    <t>Category-based fallback for unbranded products</t>
  </si>
  <si>
    <t>Phase 4: Alternatives &amp; App UI (Wk 10-12)</t>
  </si>
  <si>
    <t>Healthier-alternative suggestion engine</t>
  </si>
  <si>
    <t>Photo capture/upload UI</t>
  </si>
  <si>
    <t>Results screen UI</t>
  </si>
  <si>
    <t>End-to-end pipeline integration</t>
  </si>
  <si>
    <t>Phase 5: Testing &amp; Polish (Wk 13-15)</t>
  </si>
  <si>
    <t>Recruit pilot testers (10-15 users)</t>
  </si>
  <si>
    <t>Pilot testing against real products</t>
  </si>
  <si>
    <t>Bug fixes from test-set findings</t>
  </si>
  <si>
    <t>Evaluation metrics collection (TTR, precision, recall)</t>
  </si>
  <si>
    <t>Phase 6: Buffer &amp; Submission (Wk 16+)</t>
  </si>
  <si>
    <t>Buffer for slippage</t>
  </si>
  <si>
    <t>Stretch: cosmetics category groundwork (if time allows)</t>
  </si>
  <si>
    <t>Final report &amp; UCS503P submission prep</t>
  </si>
  <si>
    <t>Presentation &amp; demo rehearsal</t>
  </si>
  <si>
    <t>Insert new rows ABOVE this one</t>
  </si>
  <si>
    <t>SIMPLE GANTT CHART by Vertex42.com</t>
  </si>
  <si>
    <t>https://www.vertex42.com/ExcelTemplates/simple-gantt-chart.html</t>
  </si>
  <si>
    <t>© 2018-2019 Vertex42 LLC</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</si>
  <si>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</si>
  <si>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</si>
  <si>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</si>
  <si>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</si>
  <si>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</si>
  <si>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</si>
  <si>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</si>
  <si>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</si>
  <si>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</si>
  <si>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</si>
  <si>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</si>
  <si>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Willow</t>
  </si>
  <si>
    <t>UCS503 Software Engineering</t>
  </si>
  <si>
    <t>Team - Aditya Gupta , Akanksha Thakur</t>
  </si>
  <si>
    <t>Aditya</t>
  </si>
  <si>
    <t>Akanksha</t>
  </si>
  <si>
    <t>Vision-API extractors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</si>
</sst>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d&quot;, &quot;m/d/yyyy"/>
    <numFmt numFmtId="165" formatCode="mmm\ d&quot;, &quot;yyyy"/>
    <numFmt numFmtId="166" formatCode="d"/>
    <numFmt numFmtId="167" formatCode="m/d/yy;@"/>
    <numFmt numFmtId="168" formatCode="m/d/yyyy"/>
  </numFmts>
  <fonts count="29" x14ac:knownFonts="1">
    <font>
      <sz val="11"/>
      <color theme="1"/>
      <name val="Calibri"/>
      <family val="2"/>
      <charset val="1"/>
    </font>
    <font>
      <b/>
      <sz val="22"/>
      <color theme="1" tint="0.3498947111423078"/>
      <name val="Calibri"/>
      <family val="2"/>
      <charset val="1"/>
    </font>
    <font>
      <b/>
      <sz val="20"/>
      <color theme="4" tint="-0.249977111117893"/>
      <name val="Calibri"/>
      <family val="2"/>
      <charset val="1"/>
    </font>
    <font>
      <sz val="10"/>
      <name val="Calibri"/>
      <family val="2"/>
      <charset val="1"/>
    </font>
    <font>
      <sz val="10"/>
      <color theme="0" tint="-0.499984740745262"/>
      <name val="Calibri"/>
      <family val="2"/>
      <charset val="1"/>
    </font>
    <font>
      <u/>
      <sz val="11"/>
      <color rgb="FF0000FF"/>
      <name val="Arial"/>
      <family val="2"/>
      <charset val="1"/>
    </font>
    <font>
      <u/>
      <sz val="9"/>
      <color theme="4" tint="-0.249977111117893"/>
      <name val="Arial"/>
      <family val="2"/>
      <charset val="1"/>
    </font>
    <font>
      <sz val="14"/>
      <color theme="1"/>
      <name val="Calibri"/>
      <family val="2"/>
      <charset val="1"/>
    </font>
    <font>
      <sz val="9"/>
      <name val="Calibri"/>
      <family val="2"/>
      <charset val="1"/>
    </font>
    <font>
      <sz val="16"/>
      <color theme="1"/>
      <name val="Calibri"/>
      <family val="2"/>
      <charset val="1"/>
    </font>
    <font>
      <b/>
      <sz val="9"/>
      <color theme="0"/>
      <name val="Calibri"/>
      <family val="2"/>
      <charset val="1"/>
    </font>
    <font>
      <sz val="8"/>
      <color theme="0"/>
      <name val="Calibri"/>
      <family val="2"/>
      <charset val="1"/>
    </font>
    <font>
      <sz val="11"/>
      <name val="Calibri"/>
      <family val="2"/>
      <charset val="1"/>
    </font>
    <font>
      <b/>
      <sz val="11"/>
      <color theme="1"/>
      <name val="Calibri"/>
      <family val="2"/>
      <charset val="1"/>
    </font>
    <font>
      <i/>
      <sz val="9"/>
      <color theme="1"/>
      <name val="Calibri"/>
      <family val="2"/>
      <charset val="1"/>
    </font>
    <font>
      <sz val="10"/>
      <color theme="1" tint="0.49989318521683401"/>
      <name val="Calibri"/>
      <family val="2"/>
      <charset val="1"/>
    </font>
    <font>
      <b/>
      <sz val="11"/>
      <color theme="1" tint="0.49989318521683401"/>
      <name val="Calibri"/>
      <family val="2"/>
      <charset val="1"/>
    </font>
    <font>
      <sz val="11"/>
      <color theme="0"/>
      <name val="Calibri"/>
      <family val="2"/>
      <charset val="1"/>
    </font>
    <font>
      <sz val="9"/>
      <color theme="1" tint="0.49989318521683401"/>
      <name val="Arial"/>
      <family val="2"/>
      <charset val="1"/>
    </font>
    <font>
      <sz val="10"/>
      <color theme="1" tint="0.49989318521683401"/>
      <name val="Arial"/>
      <family val="2"/>
      <charset val="1"/>
    </font>
    <font>
      <sz val="10"/>
      <name val="Arial"/>
      <family val="2"/>
    </font>
    <font>
      <b/>
      <sz val="10"/>
      <name val="Calibri"/>
      <family val="2"/>
      <charset val="1"/>
    </font>
    <font>
      <b/>
      <sz val="12"/>
      <color theme="1" tint="0.3498947111423078"/>
      <name val="Calibri"/>
      <family val="2"/>
      <charset val="1"/>
    </font>
    <font>
      <sz val="11"/>
      <color theme="1" tint="0.49989318521683401"/>
      <name val="Calibri"/>
      <family val="2"/>
      <charset val="1"/>
    </font>
    <font>
      <sz val="10"/>
      <color theme="1" tint="0.3498947111423078"/>
      <name val="Calibri"/>
      <family val="2"/>
      <charset val="1"/>
    </font>
    <font>
      <sz val="20"/>
      <name val="Calibri"/>
      <family val="2"/>
      <charset val="1"/>
    </font>
    <font>
      <b/>
      <sz val="16"/>
      <color theme="4" tint="-0.249977111117893"/>
      <name val="Calibri"/>
      <family val="2"/>
      <charset val="1"/>
    </font>
    <font>
      <sz val="11"/>
      <color rgb="FF1D2129"/>
      <name val="Calibri"/>
      <family val="2"/>
      <charset val="1"/>
    </font>
    <font>
      <sz val="11"/>
      <color theme="1"/>
      <name val="Calibri"/>
      <family val="2"/>
      <charset val="1"/>
    </font>
  </fonts>
  <fills count="17">
    <fill>
      <patternFill patternType="none"/>
    </fill>
    <fill>
      <patternFill patternType="gray125"/>
    </fill>
    <fill>
      <patternFill patternType="solid">
        <fgColor theme="0" tint="-0.14999847407452621"/>
        <bgColor rgb="FFE6E0EC"/>
      </patternFill>
    </fill>
    <fill>
      <patternFill patternType="solid">
        <fgColor theme="1" tint="0.3498947111423078"/>
        <bgColor rgb="FF376092"/>
      </patternFill>
    </fill>
    <fill>
      <patternFill patternType="solid">
        <fgColor theme="4" tint="0.59987182226020086"/>
        <bgColor rgb="FFB7DEE8"/>
      </patternFill>
    </fill>
    <fill>
      <patternFill patternType="solid">
        <fgColor theme="4" tint="0.79989013336588644"/>
        <bgColor rgb="FFDBEEF4"/>
      </patternFill>
    </fill>
    <fill>
      <patternFill patternType="solid">
        <fgColor theme="5" tint="0.59987182226020086"/>
        <bgColor rgb="FFCCC1DA"/>
      </patternFill>
    </fill>
    <fill>
      <patternFill patternType="solid">
        <fgColor theme="5" tint="0.79989013336588644"/>
        <bgColor rgb="FFE6E0EC"/>
      </patternFill>
    </fill>
    <fill>
      <patternFill patternType="solid">
        <fgColor theme="6" tint="0.59987182226020086"/>
        <bgColor rgb="FFD9D9D9"/>
      </patternFill>
    </fill>
    <fill>
      <patternFill patternType="solid">
        <fgColor theme="6" tint="0.79989013336588644"/>
        <bgColor rgb="FFF2F2F2"/>
      </patternFill>
    </fill>
    <fill>
      <patternFill patternType="solid">
        <fgColor theme="7" tint="0.59987182226020086"/>
        <bgColor rgb="FFB9CDE5"/>
      </patternFill>
    </fill>
    <fill>
      <patternFill patternType="solid">
        <fgColor theme="7" tint="0.79989013336588644"/>
        <bgColor rgb="FFDCE6F2"/>
      </patternFill>
    </fill>
    <fill>
      <patternFill patternType="solid">
        <fgColor theme="8" tint="0.59987182226020086"/>
        <bgColor rgb="FFB9CDE5"/>
      </patternFill>
    </fill>
    <fill>
      <patternFill patternType="solid">
        <fgColor theme="8" tint="0.79989013336588644"/>
        <bgColor rgb="FFDCE6F2"/>
      </patternFill>
    </fill>
    <fill>
      <patternFill patternType="solid">
        <fgColor theme="9" tint="0.59987182226020086"/>
        <bgColor rgb="FFF2DCDB"/>
      </patternFill>
    </fill>
    <fill>
      <patternFill patternType="solid">
        <fgColor theme="9" tint="0.79989013336588644"/>
        <bgColor rgb="FFEBF1DE"/>
      </patternFill>
    </fill>
    <fill>
      <patternFill patternType="solid">
        <fgColor theme="0" tint="-4.9989318521683403E-2"/>
        <bgColor rgb="FFEBF1DE"/>
      </patternFill>
    </fill>
  </fills>
  <borders count="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right/>
      <top style="thin">
        <color theme="0" tint="-0.34998626667073579"/>
      </top>
      <bottom/>
      <diagonal/>
    </border>
    <border>
      <left style="thin">
        <color theme="0" tint="-0.34998626667073579"/>
      </left>
      <right style="thin">
        <color theme="0" tint="-0.34998626667073579"/>
      </right>
      <top/>
      <bottom style="medium">
        <color theme="0" tint="-0.14999847407452621"/>
      </bottom>
      <diagonal/>
    </border>
    <border>
      <left/>
      <right/>
      <top style="medium">
        <color theme="0" tint="-0.14999847407452621"/>
      </top>
      <bottom style="medium">
        <color theme="0" tint="-0.14999847407452621"/>
      </bottom>
      <diagonal/>
    </border>
    <border>
      <left style="thin">
        <color theme="0" tint="-0.14999847407452621"/>
      </left>
      <right style="thin">
        <color theme="0" tint="-0.14999847407452621"/>
      </right>
      <top style="medium">
        <color theme="0" tint="-0.14999847407452621"/>
      </top>
      <bottom style="medium">
        <color theme="0" tint="-0.14999847407452621"/>
      </bottom>
      <diagonal/>
    </border>
  </borders>
  <cellStyleXfs count="3">
    <xf numFmtId="0" fontId="0" fillId="0" borderId="0"/>
    <xf numFmtId="9" fontId="28" fillId="0" borderId="0"/>
    <xf numFmtId="0" fontId="5" fillId="0" borderId="0">
      <alignment vertical="top"/>
      <protection locked="0"/>
    </xf>
  </cellStyleXfs>
  <cellXfs count="113">
    <xf numFmtId="0" fontId="0" fillId="0" borderId="0" xfId="0"/>
    <xf numFmtId="0" fontId="0" fillId="0" borderId="0" xfId="0" applyAlignment="1">
      <alignment horizontal="center"/>
    </xf>
    <xf numFmtId="0" fontId="1" fillId="0" borderId="0" xfId="0" applyFont="1" applyAlignment="1">
      <alignment horizontal="left"/>
    </xf>
    <xf numFmtId="0" fontId="2" fillId="0" borderId="0" xfId="0" applyFont="1" applyAlignment="1">
      <alignment horizontal="left"/>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4" fillId="0" borderId="0" xfId="0" applyFont="1" applyAlignment="1">
      <alignment vertical="center"/>
    </xf>
    <xf numFmtId="0" fontId="7" fillId="0" borderId="0" xfId="0" applyFont="1"/>
    <xf numFmtId="0" fontId="0" fillId="0" borderId="0" xfId="0" applyAlignment="1">
      <alignment horizontal="right" vertical="center"/>
    </xf>
    <xf numFmtId="0" fontId="0" fillId="0" borderId="1" xfId="0" applyBorder="1" applyAlignment="1">
      <alignment horizontal="center" vertical="center"/>
    </xf>
    <xf numFmtId="166" fontId="8" fillId="2" borderId="3" xfId="0" applyNumberFormat="1" applyFont="1" applyFill="1" applyBorder="1" applyAlignment="1">
      <alignment horizontal="center" vertical="center"/>
    </xf>
    <xf numFmtId="166" fontId="8" fillId="2" borderId="0" xfId="0" applyNumberFormat="1" applyFont="1" applyFill="1" applyAlignment="1">
      <alignment horizontal="center" vertical="center"/>
    </xf>
    <xf numFmtId="166" fontId="8" fillId="2" borderId="4" xfId="0" applyNumberFormat="1" applyFont="1" applyFill="1" applyBorder="1" applyAlignment="1">
      <alignment horizontal="center" vertical="center"/>
    </xf>
    <xf numFmtId="0" fontId="9" fillId="0" borderId="0" xfId="0" applyFont="1" applyAlignment="1">
      <alignment horizontal="right" vertical="center"/>
    </xf>
    <xf numFmtId="0" fontId="10" fillId="3" borderId="5" xfId="0" applyFont="1" applyFill="1" applyBorder="1" applyAlignment="1">
      <alignment horizontal="left" vertical="center" indent="1"/>
    </xf>
    <xf numFmtId="0" fontId="10" fillId="3" borderId="5" xfId="0" applyFont="1" applyFill="1" applyBorder="1" applyAlignment="1">
      <alignment horizontal="center" vertical="center" wrapText="1"/>
    </xf>
    <xf numFmtId="0" fontId="11" fillId="3" borderId="6" xfId="0" applyFont="1" applyFill="1" applyBorder="1" applyAlignment="1">
      <alignment horizontal="center" vertical="center" shrinkToFit="1"/>
    </xf>
    <xf numFmtId="0" fontId="0" fillId="0" borderId="7" xfId="0" applyBorder="1" applyAlignment="1">
      <alignment horizontal="left" vertical="center" indent="1"/>
    </xf>
    <xf numFmtId="0" fontId="0" fillId="0" borderId="7" xfId="0" applyBorder="1" applyAlignment="1">
      <alignment horizontal="center" vertical="center"/>
    </xf>
    <xf numFmtId="9" fontId="12" fillId="0" borderId="7" xfId="1" applyFont="1" applyBorder="1" applyAlignment="1">
      <alignment horizontal="center" vertical="center"/>
    </xf>
    <xf numFmtId="167" fontId="0" fillId="0" borderId="7" xfId="0" applyNumberFormat="1" applyBorder="1" applyAlignment="1">
      <alignment horizontal="center" vertical="center"/>
    </xf>
    <xf numFmtId="167" fontId="12" fillId="0" borderId="7" xfId="0" applyNumberFormat="1" applyFont="1" applyBorder="1" applyAlignment="1">
      <alignment horizontal="center" vertical="center"/>
    </xf>
    <xf numFmtId="0" fontId="12" fillId="0" borderId="7" xfId="0" applyFont="1" applyBorder="1" applyAlignment="1">
      <alignment horizontal="center" vertical="center"/>
    </xf>
    <xf numFmtId="0" fontId="0" fillId="0" borderId="8" xfId="0" applyBorder="1" applyAlignment="1">
      <alignment vertical="center"/>
    </xf>
    <xf numFmtId="0" fontId="0" fillId="0" borderId="0" xfId="0" applyAlignment="1">
      <alignment vertical="center"/>
    </xf>
    <xf numFmtId="0" fontId="13" fillId="4" borderId="7" xfId="0" applyFont="1" applyFill="1" applyBorder="1" applyAlignment="1">
      <alignment horizontal="left" vertical="center" indent="1"/>
    </xf>
    <xf numFmtId="0" fontId="13" fillId="4" borderId="7" xfId="0" applyFont="1" applyFill="1" applyBorder="1" applyAlignment="1">
      <alignment horizontal="center" vertical="center"/>
    </xf>
    <xf numFmtId="9" fontId="12" fillId="4" borderId="7" xfId="1" applyFont="1" applyFill="1" applyBorder="1" applyAlignment="1">
      <alignment horizontal="center" vertical="center"/>
    </xf>
    <xf numFmtId="167" fontId="0" fillId="4" borderId="7" xfId="0" applyNumberFormat="1" applyFill="1" applyBorder="1" applyAlignment="1">
      <alignment horizontal="center" vertical="center"/>
    </xf>
    <xf numFmtId="167" fontId="12" fillId="4" borderId="7" xfId="0" applyNumberFormat="1" applyFont="1" applyFill="1" applyBorder="1" applyAlignment="1">
      <alignment horizontal="center" vertical="center"/>
    </xf>
    <xf numFmtId="0" fontId="0" fillId="5" borderId="7" xfId="0" applyFill="1" applyBorder="1" applyAlignment="1">
      <alignment horizontal="left" vertical="center" indent="2"/>
    </xf>
    <xf numFmtId="0" fontId="0" fillId="5" borderId="7" xfId="0" applyFill="1" applyBorder="1" applyAlignment="1">
      <alignment horizontal="center" vertical="center"/>
    </xf>
    <xf numFmtId="9" fontId="12" fillId="5" borderId="7" xfId="1" applyFont="1" applyFill="1" applyBorder="1" applyAlignment="1">
      <alignment horizontal="center" vertical="center"/>
    </xf>
    <xf numFmtId="167" fontId="0" fillId="5" borderId="7" xfId="0" applyNumberFormat="1" applyFill="1" applyBorder="1" applyAlignment="1">
      <alignment horizontal="center" vertical="center"/>
    </xf>
    <xf numFmtId="167" fontId="12" fillId="5" borderId="7" xfId="0" applyNumberFormat="1" applyFont="1" applyFill="1" applyBorder="1" applyAlignment="1">
      <alignment horizontal="center" vertical="center"/>
    </xf>
    <xf numFmtId="0" fontId="0" fillId="0" borderId="8" xfId="0" applyBorder="1" applyAlignment="1">
      <alignment horizontal="right" vertical="center"/>
    </xf>
    <xf numFmtId="0" fontId="13" fillId="6" borderId="7" xfId="0" applyFont="1" applyFill="1" applyBorder="1" applyAlignment="1">
      <alignment horizontal="left" vertical="center" indent="1"/>
    </xf>
    <xf numFmtId="0" fontId="13" fillId="6" borderId="7" xfId="0" applyFont="1" applyFill="1" applyBorder="1" applyAlignment="1">
      <alignment horizontal="center" vertical="center"/>
    </xf>
    <xf numFmtId="9" fontId="12" fillId="6" borderId="7" xfId="1" applyFont="1" applyFill="1" applyBorder="1" applyAlignment="1">
      <alignment horizontal="center" vertical="center"/>
    </xf>
    <xf numFmtId="167" fontId="0" fillId="6" borderId="7" xfId="0" applyNumberFormat="1" applyFill="1" applyBorder="1" applyAlignment="1">
      <alignment horizontal="center" vertical="center"/>
    </xf>
    <xf numFmtId="167" fontId="12" fillId="6" borderId="7" xfId="0" applyNumberFormat="1" applyFont="1" applyFill="1" applyBorder="1" applyAlignment="1">
      <alignment horizontal="center" vertical="center"/>
    </xf>
    <xf numFmtId="0" fontId="0" fillId="7" borderId="7" xfId="0" applyFill="1" applyBorder="1" applyAlignment="1">
      <alignment horizontal="left" vertical="center" indent="2"/>
    </xf>
    <xf numFmtId="0" fontId="0" fillId="7" borderId="7" xfId="0" applyFill="1" applyBorder="1" applyAlignment="1">
      <alignment horizontal="center" vertical="center"/>
    </xf>
    <xf numFmtId="9" fontId="12" fillId="7" borderId="7" xfId="1" applyFont="1" applyFill="1" applyBorder="1" applyAlignment="1">
      <alignment horizontal="center" vertical="center"/>
    </xf>
    <xf numFmtId="167" fontId="0" fillId="7" borderId="7" xfId="0" applyNumberFormat="1" applyFill="1" applyBorder="1" applyAlignment="1">
      <alignment horizontal="center" vertical="center"/>
    </xf>
    <xf numFmtId="167" fontId="12" fillId="7" borderId="7" xfId="0" applyNumberFormat="1" applyFont="1" applyFill="1" applyBorder="1" applyAlignment="1">
      <alignment horizontal="center" vertical="center"/>
    </xf>
    <xf numFmtId="0" fontId="13" fillId="8" borderId="7" xfId="0" applyFont="1" applyFill="1" applyBorder="1" applyAlignment="1">
      <alignment horizontal="left" vertical="center" indent="1"/>
    </xf>
    <xf numFmtId="0" fontId="13" fillId="8" borderId="7" xfId="0" applyFont="1" applyFill="1" applyBorder="1" applyAlignment="1">
      <alignment horizontal="center" vertical="center"/>
    </xf>
    <xf numFmtId="9" fontId="12" fillId="8" borderId="7" xfId="1" applyFont="1" applyFill="1" applyBorder="1" applyAlignment="1">
      <alignment horizontal="center" vertical="center"/>
    </xf>
    <xf numFmtId="167" fontId="0" fillId="8" borderId="7" xfId="0" applyNumberFormat="1" applyFill="1" applyBorder="1" applyAlignment="1">
      <alignment horizontal="center" vertical="center"/>
    </xf>
    <xf numFmtId="167" fontId="12" fillId="8" borderId="7" xfId="0" applyNumberFormat="1" applyFont="1" applyFill="1" applyBorder="1" applyAlignment="1">
      <alignment horizontal="center" vertical="center"/>
    </xf>
    <xf numFmtId="0" fontId="0" fillId="9" borderId="7" xfId="0" applyFill="1" applyBorder="1" applyAlignment="1">
      <alignment horizontal="left" vertical="center" indent="2"/>
    </xf>
    <xf numFmtId="0" fontId="0" fillId="9" borderId="7" xfId="0" applyFill="1" applyBorder="1" applyAlignment="1">
      <alignment horizontal="center" vertical="center"/>
    </xf>
    <xf numFmtId="9" fontId="12" fillId="9" borderId="7" xfId="1" applyFont="1" applyFill="1" applyBorder="1" applyAlignment="1">
      <alignment horizontal="center" vertical="center"/>
    </xf>
    <xf numFmtId="167" fontId="0" fillId="9" borderId="7" xfId="0" applyNumberFormat="1" applyFill="1" applyBorder="1" applyAlignment="1">
      <alignment horizontal="center" vertical="center"/>
    </xf>
    <xf numFmtId="167" fontId="12" fillId="9" borderId="7" xfId="0" applyNumberFormat="1" applyFont="1" applyFill="1" applyBorder="1" applyAlignment="1">
      <alignment horizontal="center" vertical="center"/>
    </xf>
    <xf numFmtId="0" fontId="13" fillId="10" borderId="7" xfId="0" applyFont="1" applyFill="1" applyBorder="1" applyAlignment="1">
      <alignment horizontal="left" vertical="center" indent="1"/>
    </xf>
    <xf numFmtId="0" fontId="13" fillId="10" borderId="7" xfId="0" applyFont="1" applyFill="1" applyBorder="1" applyAlignment="1">
      <alignment horizontal="center" vertical="center"/>
    </xf>
    <xf numFmtId="9" fontId="12" fillId="10" borderId="7" xfId="1" applyFont="1" applyFill="1" applyBorder="1" applyAlignment="1">
      <alignment horizontal="center" vertical="center"/>
    </xf>
    <xf numFmtId="167" fontId="0" fillId="10" borderId="7" xfId="0" applyNumberFormat="1" applyFill="1" applyBorder="1" applyAlignment="1">
      <alignment horizontal="center" vertical="center"/>
    </xf>
    <xf numFmtId="167" fontId="12" fillId="10" borderId="7" xfId="0" applyNumberFormat="1" applyFont="1" applyFill="1" applyBorder="1" applyAlignment="1">
      <alignment horizontal="center" vertical="center"/>
    </xf>
    <xf numFmtId="0" fontId="0" fillId="11" borderId="7" xfId="0" applyFill="1" applyBorder="1" applyAlignment="1">
      <alignment horizontal="left" vertical="center" indent="2"/>
    </xf>
    <xf numFmtId="0" fontId="0" fillId="11" borderId="7" xfId="0" applyFill="1" applyBorder="1" applyAlignment="1">
      <alignment horizontal="center" vertical="center"/>
    </xf>
    <xf numFmtId="9" fontId="12" fillId="11" borderId="7" xfId="1" applyFont="1" applyFill="1" applyBorder="1" applyAlignment="1">
      <alignment horizontal="center" vertical="center"/>
    </xf>
    <xf numFmtId="167" fontId="0" fillId="11" borderId="7" xfId="0" applyNumberFormat="1" applyFill="1" applyBorder="1" applyAlignment="1">
      <alignment horizontal="center" vertical="center"/>
    </xf>
    <xf numFmtId="167" fontId="12" fillId="11" borderId="7" xfId="0" applyNumberFormat="1" applyFont="1" applyFill="1" applyBorder="1" applyAlignment="1">
      <alignment horizontal="center" vertical="center"/>
    </xf>
    <xf numFmtId="0" fontId="13" fillId="12" borderId="7" xfId="0" applyFont="1" applyFill="1" applyBorder="1" applyAlignment="1">
      <alignment horizontal="left" vertical="center" indent="1"/>
    </xf>
    <xf numFmtId="0" fontId="13" fillId="12" borderId="7" xfId="0" applyFont="1" applyFill="1" applyBorder="1" applyAlignment="1">
      <alignment horizontal="center" vertical="center"/>
    </xf>
    <xf numFmtId="9" fontId="12" fillId="12" borderId="7" xfId="1" applyFont="1" applyFill="1" applyBorder="1" applyAlignment="1">
      <alignment horizontal="center" vertical="center"/>
    </xf>
    <xf numFmtId="167" fontId="0" fillId="12" borderId="7" xfId="0" applyNumberFormat="1" applyFill="1" applyBorder="1" applyAlignment="1">
      <alignment horizontal="center" vertical="center"/>
    </xf>
    <xf numFmtId="167" fontId="12" fillId="12" borderId="7" xfId="0" applyNumberFormat="1" applyFont="1" applyFill="1" applyBorder="1" applyAlignment="1">
      <alignment horizontal="center" vertical="center"/>
    </xf>
    <xf numFmtId="0" fontId="0" fillId="13" borderId="7" xfId="0" applyFill="1" applyBorder="1" applyAlignment="1">
      <alignment horizontal="left" vertical="center" indent="2"/>
    </xf>
    <xf numFmtId="0" fontId="0" fillId="13" borderId="7" xfId="0" applyFill="1" applyBorder="1" applyAlignment="1">
      <alignment horizontal="center" vertical="center"/>
    </xf>
    <xf numFmtId="9" fontId="12" fillId="13" borderId="7" xfId="1" applyFont="1" applyFill="1" applyBorder="1" applyAlignment="1">
      <alignment horizontal="center" vertical="center"/>
    </xf>
    <xf numFmtId="167" fontId="0" fillId="13" borderId="7" xfId="0" applyNumberFormat="1" applyFill="1" applyBorder="1" applyAlignment="1">
      <alignment horizontal="center" vertical="center"/>
    </xf>
    <xf numFmtId="167" fontId="12" fillId="13" borderId="7" xfId="0" applyNumberFormat="1" applyFont="1" applyFill="1" applyBorder="1" applyAlignment="1">
      <alignment horizontal="center" vertical="center"/>
    </xf>
    <xf numFmtId="0" fontId="13" fillId="14" borderId="7" xfId="0" applyFont="1" applyFill="1" applyBorder="1" applyAlignment="1">
      <alignment horizontal="left" vertical="center" indent="1"/>
    </xf>
    <xf numFmtId="0" fontId="13" fillId="14" borderId="7" xfId="0" applyFont="1" applyFill="1" applyBorder="1" applyAlignment="1">
      <alignment horizontal="center" vertical="center"/>
    </xf>
    <xf numFmtId="9" fontId="12" fillId="14" borderId="7" xfId="1" applyFont="1" applyFill="1" applyBorder="1" applyAlignment="1">
      <alignment horizontal="center" vertical="center"/>
    </xf>
    <xf numFmtId="167" fontId="0" fillId="14" borderId="7" xfId="0" applyNumberFormat="1" applyFill="1" applyBorder="1" applyAlignment="1">
      <alignment horizontal="center" vertical="center"/>
    </xf>
    <xf numFmtId="167" fontId="12" fillId="14" borderId="7" xfId="0" applyNumberFormat="1" applyFont="1" applyFill="1" applyBorder="1" applyAlignment="1">
      <alignment horizontal="center" vertical="center"/>
    </xf>
    <xf numFmtId="0" fontId="0" fillId="15" borderId="7" xfId="0" applyFill="1" applyBorder="1" applyAlignment="1">
      <alignment horizontal="left" vertical="center" indent="2"/>
    </xf>
    <xf numFmtId="0" fontId="0" fillId="15" borderId="7" xfId="0" applyFill="1" applyBorder="1" applyAlignment="1">
      <alignment horizontal="center" vertical="center"/>
    </xf>
    <xf numFmtId="9" fontId="12" fillId="15" borderId="7" xfId="1" applyFont="1" applyFill="1" applyBorder="1" applyAlignment="1">
      <alignment horizontal="center" vertical="center"/>
    </xf>
    <xf numFmtId="167" fontId="0" fillId="15" borderId="7" xfId="0" applyNumberFormat="1" applyFill="1" applyBorder="1" applyAlignment="1">
      <alignment horizontal="center" vertical="center"/>
    </xf>
    <xf numFmtId="167" fontId="12" fillId="15" borderId="7" xfId="0" applyNumberFormat="1" applyFont="1" applyFill="1" applyBorder="1" applyAlignment="1">
      <alignment horizontal="center" vertical="center"/>
    </xf>
    <xf numFmtId="0" fontId="14" fillId="16" borderId="7" xfId="0" applyFont="1" applyFill="1" applyBorder="1" applyAlignment="1">
      <alignment horizontal="left" vertical="center" indent="1"/>
    </xf>
    <xf numFmtId="0" fontId="14" fillId="16" borderId="7" xfId="0" applyFont="1" applyFill="1" applyBorder="1" applyAlignment="1">
      <alignment horizontal="center" vertical="center"/>
    </xf>
    <xf numFmtId="9" fontId="12" fillId="16" borderId="7" xfId="1" applyFont="1" applyFill="1" applyBorder="1" applyAlignment="1">
      <alignment horizontal="center" vertical="center"/>
    </xf>
    <xf numFmtId="167" fontId="15" fillId="16" borderId="7" xfId="0" applyNumberFormat="1" applyFont="1" applyFill="1" applyBorder="1" applyAlignment="1">
      <alignment horizontal="left" vertical="center"/>
    </xf>
    <xf numFmtId="167" fontId="12" fillId="16" borderId="7" xfId="0" applyNumberFormat="1" applyFont="1" applyFill="1" applyBorder="1" applyAlignment="1">
      <alignment horizontal="center" vertical="center"/>
    </xf>
    <xf numFmtId="0" fontId="12" fillId="16" borderId="7" xfId="0" applyFont="1" applyFill="1" applyBorder="1" applyAlignment="1">
      <alignment horizontal="center" vertical="center"/>
    </xf>
    <xf numFmtId="0" fontId="0" fillId="16" borderId="8" xfId="0" applyFill="1" applyBorder="1" applyAlignment="1">
      <alignment vertical="center"/>
    </xf>
    <xf numFmtId="0" fontId="16" fillId="0" borderId="0" xfId="0" applyFont="1"/>
    <xf numFmtId="168" fontId="17" fillId="0" borderId="0" xfId="0" applyNumberFormat="1" applyFont="1" applyAlignment="1">
      <alignment horizontal="center"/>
    </xf>
    <xf numFmtId="0" fontId="18" fillId="0" borderId="0" xfId="2" applyFont="1" applyAlignment="1" applyProtection="1"/>
    <xf numFmtId="0" fontId="19" fillId="0" borderId="0" xfId="2" applyFont="1" applyAlignment="1" applyProtection="1"/>
    <xf numFmtId="0" fontId="18" fillId="0" borderId="0" xfId="0" applyFont="1"/>
    <xf numFmtId="0" fontId="3" fillId="0" borderId="0" xfId="0" applyFont="1" applyAlignment="1">
      <alignment vertical="top"/>
    </xf>
    <xf numFmtId="0" fontId="21" fillId="0" borderId="0" xfId="0" applyFont="1" applyAlignment="1">
      <alignment horizontal="left" vertical="center"/>
    </xf>
    <xf numFmtId="0" fontId="22" fillId="0" borderId="0" xfId="0" applyFont="1" applyAlignment="1">
      <alignment horizontal="left" vertical="center"/>
    </xf>
    <xf numFmtId="0" fontId="3" fillId="0" borderId="0" xfId="0" applyFont="1" applyAlignment="1">
      <alignment horizontal="left" vertical="center"/>
    </xf>
    <xf numFmtId="0" fontId="23" fillId="0" borderId="0" xfId="0" applyFont="1" applyAlignment="1">
      <alignment vertical="center"/>
    </xf>
    <xf numFmtId="0" fontId="24" fillId="0" borderId="0" xfId="0" applyFont="1" applyAlignment="1">
      <alignment vertical="top"/>
    </xf>
    <xf numFmtId="0" fontId="25" fillId="0" borderId="0" xfId="0" applyFont="1"/>
    <xf numFmtId="0" fontId="26" fillId="0" borderId="0" xfId="0" applyFont="1" applyAlignment="1">
      <alignment vertical="center"/>
    </xf>
    <xf numFmtId="0" fontId="27" fillId="0" borderId="0" xfId="0" applyFont="1" applyAlignment="1">
      <alignment horizontal="left" vertical="top" wrapText="1" indent="1"/>
    </xf>
    <xf numFmtId="0" fontId="27" fillId="0" borderId="0" xfId="0" applyFont="1" applyAlignment="1">
      <alignment vertical="top" wrapText="1"/>
    </xf>
    <xf numFmtId="0" fontId="5" fillId="0" borderId="0" xfId="2" applyAlignment="1" applyProtection="1">
      <alignment horizontal="left" indent="1"/>
    </xf>
    <xf numFmtId="165" fontId="0" fillId="2" borderId="2" xfId="0" applyNumberFormat="1" applyFill="1" applyBorder="1" applyAlignment="1">
      <alignment horizontal="left" vertical="center" wrapText="1" indent="1"/>
    </xf>
    <xf numFmtId="0" fontId="6" fillId="0" borderId="0" xfId="2" applyFont="1" applyAlignment="1" applyProtection="1">
      <alignment horizontal="left" vertical="center"/>
    </xf>
    <xf numFmtId="164" fontId="0" fillId="0" borderId="1" xfId="0" applyNumberFormat="1" applyBorder="1" applyAlignment="1">
      <alignment horizontal="center" vertical="center"/>
    </xf>
  </cellXfs>
  <cellStyles count="3">
    <cellStyle name="Hyperlink" xfId="2" builtinId="8"/>
    <cellStyle name="Normal" xfId="0" builtinId="0"/>
    <cellStyle name="Percent" xfId="1" builtinId="5"/>
  </cellStyles>
  <dxfs count="3">
    <dxf>
      <fill>
        <patternFill>
          <bgColor theme="7"/>
        </patternFill>
      </fill>
      <border diagonalUp="0" diagonalDown="0">
        <left/>
        <right/>
        <top/>
        <bottom/>
      </border>
    </dxf>
    <dxf>
      <fill>
        <patternFill>
          <bgColor theme="0" tint="-0.34998626667073579"/>
        </patternFill>
      </fill>
    </dxf>
    <dxf>
      <border diagonalUp="0" diagonalDown="0">
        <left style="thin">
          <color rgb="FFC00000"/>
        </left>
        <right style="thin">
          <color rgb="FFC00000"/>
        </right>
        <top/>
        <bottom/>
      </border>
    </dxf>
  </dxfs>
  <tableStyles count="0" defaultTableStyle="TableStyleMedium2" defaultPivotStyle="PivotStyleLight16"/>
  <colors>
    <indexedColors>
      <rgbColor rgb="FF000000"/>
      <rgbColor rgb="FFFFFFFF"/>
      <rgbColor rgb="FFC00000"/>
      <rgbColor rgb="FF00FF00"/>
      <rgbColor rgb="FF0000FF"/>
      <rgbColor rgb="FFF2F2F2"/>
      <rgbColor rgb="FFFF00FF"/>
      <rgbColor rgb="FF00FFFF"/>
      <rgbColor rgb="FF800000"/>
      <rgbColor rgb="FF008000"/>
      <rgbColor rgb="FF000080"/>
      <rgbColor rgb="FF7F7F7F"/>
      <rgbColor rgb="FF800080"/>
      <rgbColor rgb="FF008080"/>
      <rgbColor rgb="FFCCC1DA"/>
      <rgbColor rgb="FF808080"/>
      <rgbColor rgb="FFE6E0EC"/>
      <rgbColor rgb="FF595959"/>
      <rgbColor rgb="FFEBF1DE"/>
      <rgbColor rgb="FFDBEEF4"/>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DCE6F2"/>
      <rgbColor rgb="FFD7E4BD"/>
      <rgbColor rgb="FFFDEADA"/>
      <rgbColor rgb="FFB7DEE8"/>
      <rgbColor rgb="FFE6B9B8"/>
      <rgbColor rgb="FFD9D9D9"/>
      <rgbColor rgb="FFFCD5B5"/>
      <rgbColor rgb="FF3366FF"/>
      <rgbColor rgb="FF33CCCC"/>
      <rgbColor rgb="FF99CC00"/>
      <rgbColor rgb="FFF2DCDB"/>
      <rgbColor rgb="FFFF9900"/>
      <rgbColor rgb="FFFF6600"/>
      <rgbColor rgb="FF8064A2"/>
      <rgbColor rgb="FFA6A6A6"/>
      <rgbColor rgb="FF003366"/>
      <rgbColor rgb="FF339966"/>
      <rgbColor rgb="FF003300"/>
      <rgbColor rgb="FF333300"/>
      <rgbColor rgb="FF993300"/>
      <rgbColor rgb="FF993366"/>
      <rgbColor rgb="FF376092"/>
      <rgbColor rgb="FF1D212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xl/media/image1.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95400</xdr:rowOff>
    </xdr:from>
    <xdr:to>
      <xdr:col>1</xdr:col>
      <xdr:colOff>1904760</xdr:colOff>
      <xdr:row>0</xdr:row>
      <xdr:rowOff>523800</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2"/>
        <a:stretch/>
      </xdr:blipFill>
      <xdr:spPr>
        <a:xfrm>
          <a:off x="201240" y="95400"/>
          <a:ext cx="1904760" cy="42840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2007-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help" TargetMode="External"/><Relationship Id="rId2" Type="http://schemas.openxmlformats.org/officeDocument/2006/relationships/hyperlink" Target="https://www.vertex42.com/ExcelTemplates/simple-gantt-chart.html?utm_source=v42&amp;utm_medium=file&amp;utm_campaign=templates&amp;utm_term=simple-gantt-chart_ms&amp;utm_content=url" TargetMode="External"/><Relationship Id="rId1" Type="http://schemas.openxmlformats.org/officeDocument/2006/relationships/hyperlink" Target="https://www.vertex42.com/ExcelTemplates/simple-gantt-chart.html?utm_source=v42&amp;utm_medium=file&amp;utm_campaign=templates&amp;utm_term=simple-gantt-chart_ms&amp;utm_content=title" TargetMode="External"/><Relationship Id="rId5" Type="http://schemas.openxmlformats.org/officeDocument/2006/relationships/drawing" Target="../drawings/drawing1.xml"/><Relationship Id="rId4" Type="http://schemas.openxmlformats.org/officeDocument/2006/relationships/hyperlink" Target="https://www.vertex42.com/ExcelTemplates/excel-project-management.html?utm_source=v42&amp;utm_medium=file&amp;utm_campaign=templates&amp;utm_term=simple-gantt-chart_ms&amp;utm_content=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I45"/>
  <sheetViews>
    <sheetView showGridLines="0" tabSelected="1" zoomScale="104" zoomScaleNormal="104" workbookViewId="0">
      <pane ySplit="6" topLeftCell="A23" activePane="bottomLeft" state="frozen"/>
      <selection pane="bottomLeft" activeCell="C32" sqref="C32"/>
    </sheetView>
  </sheetViews>
  <sheetFormatPr defaultColWidth="8.6640625" defaultRowHeight="14.4" x14ac:dyDescent="0.3"/>
  <cols>
    <col min="1" max="1" width="2.6640625" customWidth="1"/>
    <col min="2" max="2" width="47.21875" customWidth="1"/>
    <col min="3" max="3" width="9.109375" customWidth="1"/>
    <col min="4" max="4" width="10.6640625" customWidth="1"/>
    <col min="5" max="5" width="10.44140625" style="1" customWidth="1"/>
    <col min="6" max="6" width="10.44140625" customWidth="1"/>
    <col min="7" max="7" width="2.6640625" customWidth="1"/>
    <col min="8" max="8" width="6.109375" hidden="1" customWidth="1"/>
    <col min="9" max="113" width="2.5546875" customWidth="1"/>
  </cols>
  <sheetData>
    <row r="1" spans="1:113" ht="28.5" customHeight="1" x14ac:dyDescent="0.55000000000000004">
      <c r="B1" s="2" t="s">
        <v>53</v>
      </c>
      <c r="C1" s="3"/>
      <c r="D1" s="4"/>
      <c r="E1" s="5"/>
      <c r="F1" s="6"/>
      <c r="H1" s="4"/>
      <c r="I1" s="7"/>
      <c r="J1" s="111" t="str">
        <f>HYPERLINK("https://vertex42.link/HowToMakeAGanttChart","► Watch How to Make a Gantt Chart in Excel")</f>
        <v>► Watch How to Make a Gantt Chart in Excel</v>
      </c>
      <c r="K1" s="111"/>
      <c r="L1" s="111"/>
      <c r="M1" s="111"/>
      <c r="N1" s="111"/>
      <c r="O1" s="111"/>
      <c r="P1" s="111"/>
      <c r="Q1" s="111"/>
      <c r="R1" s="111"/>
      <c r="S1" s="111"/>
      <c r="T1" s="111"/>
      <c r="U1" s="111"/>
      <c r="V1" s="111"/>
      <c r="W1" s="111"/>
      <c r="X1" s="111"/>
      <c r="Y1" s="111"/>
      <c r="Z1" s="111"/>
      <c r="AA1" s="111"/>
    </row>
    <row r="2" spans="1:113" ht="19.5" customHeight="1" x14ac:dyDescent="0.35">
      <c r="B2" s="8" t="s">
        <v>54</v>
      </c>
      <c r="D2" s="9" t="s">
        <v>0</v>
      </c>
      <c r="E2" s="112">
        <v>46239</v>
      </c>
      <c r="F2" s="112"/>
    </row>
    <row r="3" spans="1:113" ht="19.5" customHeight="1" x14ac:dyDescent="0.35">
      <c r="B3" s="8" t="s">
        <v>55</v>
      </c>
      <c r="D3" s="9" t="s">
        <v>1</v>
      </c>
      <c r="E3" s="112">
        <v>46274</v>
      </c>
      <c r="F3" s="112"/>
    </row>
    <row r="4" spans="1:113" ht="19.5" customHeight="1" x14ac:dyDescent="0.3">
      <c r="D4" s="9" t="s">
        <v>2</v>
      </c>
      <c r="E4" s="10">
        <v>1</v>
      </c>
      <c r="I4" s="110">
        <f>I5</f>
        <v>46237</v>
      </c>
      <c r="J4" s="110"/>
      <c r="K4" s="110"/>
      <c r="L4" s="110"/>
      <c r="M4" s="110"/>
      <c r="N4" s="110"/>
      <c r="O4" s="110"/>
      <c r="P4" s="110">
        <f>P5</f>
        <v>46244</v>
      </c>
      <c r="Q4" s="110"/>
      <c r="R4" s="110"/>
      <c r="S4" s="110"/>
      <c r="T4" s="110"/>
      <c r="U4" s="110"/>
      <c r="V4" s="110"/>
      <c r="W4" s="110">
        <f>W5</f>
        <v>46251</v>
      </c>
      <c r="X4" s="110"/>
      <c r="Y4" s="110"/>
      <c r="Z4" s="110"/>
      <c r="AA4" s="110"/>
      <c r="AB4" s="110"/>
      <c r="AC4" s="110"/>
      <c r="AD4" s="110">
        <f>AD5</f>
        <v>46258</v>
      </c>
      <c r="AE4" s="110"/>
      <c r="AF4" s="110"/>
      <c r="AG4" s="110"/>
      <c r="AH4" s="110"/>
      <c r="AI4" s="110"/>
      <c r="AJ4" s="110"/>
      <c r="AK4" s="110">
        <f>AK5</f>
        <v>46265</v>
      </c>
      <c r="AL4" s="110"/>
      <c r="AM4" s="110"/>
      <c r="AN4" s="110"/>
      <c r="AO4" s="110"/>
      <c r="AP4" s="110"/>
      <c r="AQ4" s="110"/>
      <c r="AR4" s="110">
        <f>AR5</f>
        <v>46272</v>
      </c>
      <c r="AS4" s="110"/>
      <c r="AT4" s="110"/>
      <c r="AU4" s="110"/>
      <c r="AV4" s="110"/>
      <c r="AW4" s="110"/>
      <c r="AX4" s="110"/>
      <c r="AY4" s="110">
        <f>AY5</f>
        <v>46279</v>
      </c>
      <c r="AZ4" s="110"/>
      <c r="BA4" s="110"/>
      <c r="BB4" s="110"/>
      <c r="BC4" s="110"/>
      <c r="BD4" s="110"/>
      <c r="BE4" s="110"/>
      <c r="BF4" s="110">
        <f>BF5</f>
        <v>46286</v>
      </c>
      <c r="BG4" s="110"/>
      <c r="BH4" s="110"/>
      <c r="BI4" s="110"/>
      <c r="BJ4" s="110"/>
      <c r="BK4" s="110"/>
      <c r="BL4" s="110"/>
      <c r="BM4" s="110">
        <f>BM5</f>
        <v>46293</v>
      </c>
      <c r="BN4" s="110"/>
      <c r="BO4" s="110"/>
      <c r="BP4" s="110"/>
      <c r="BQ4" s="110"/>
      <c r="BR4" s="110"/>
      <c r="BS4" s="110"/>
      <c r="BT4" s="110">
        <f>BT5</f>
        <v>46300</v>
      </c>
      <c r="BU4" s="110"/>
      <c r="BV4" s="110"/>
      <c r="BW4" s="110"/>
      <c r="BX4" s="110"/>
      <c r="BY4" s="110"/>
      <c r="BZ4" s="110"/>
      <c r="CA4" s="110">
        <f>CA5</f>
        <v>46307</v>
      </c>
      <c r="CB4" s="110"/>
      <c r="CC4" s="110"/>
      <c r="CD4" s="110"/>
      <c r="CE4" s="110"/>
      <c r="CF4" s="110"/>
      <c r="CG4" s="110"/>
      <c r="CH4" s="110">
        <f>CH5</f>
        <v>46314</v>
      </c>
      <c r="CI4" s="110"/>
      <c r="CJ4" s="110"/>
      <c r="CK4" s="110"/>
      <c r="CL4" s="110"/>
      <c r="CM4" s="110"/>
      <c r="CN4" s="110"/>
      <c r="CO4" s="110">
        <f>CO5</f>
        <v>46321</v>
      </c>
      <c r="CP4" s="110"/>
      <c r="CQ4" s="110"/>
      <c r="CR4" s="110"/>
      <c r="CS4" s="110"/>
      <c r="CT4" s="110"/>
      <c r="CU4" s="110"/>
      <c r="CV4" s="110">
        <f>CV5</f>
        <v>46328</v>
      </c>
      <c r="CW4" s="110"/>
      <c r="CX4" s="110"/>
      <c r="CY4" s="110"/>
      <c r="CZ4" s="110"/>
      <c r="DA4" s="110"/>
      <c r="DB4" s="110"/>
      <c r="DC4" s="110">
        <f>DC5</f>
        <v>46335</v>
      </c>
      <c r="DD4" s="110"/>
      <c r="DE4" s="110"/>
      <c r="DF4" s="110"/>
      <c r="DG4" s="110"/>
      <c r="DH4" s="110"/>
      <c r="DI4" s="110"/>
    </row>
    <row r="5" spans="1:113" x14ac:dyDescent="0.3">
      <c r="A5" s="9"/>
      <c r="G5" s="9"/>
      <c r="I5" s="11">
        <f>E2-WEEKDAY(E2,1)+2+7*(E4-1)</f>
        <v>46237</v>
      </c>
      <c r="J5" s="12">
        <f t="shared" ref="J5:AO5" si="0">I5+1</f>
        <v>46238</v>
      </c>
      <c r="K5" s="12">
        <f t="shared" si="0"/>
        <v>46239</v>
      </c>
      <c r="L5" s="12">
        <f t="shared" si="0"/>
        <v>46240</v>
      </c>
      <c r="M5" s="12">
        <f t="shared" si="0"/>
        <v>46241</v>
      </c>
      <c r="N5" s="12">
        <f t="shared" si="0"/>
        <v>46242</v>
      </c>
      <c r="O5" s="13">
        <f t="shared" si="0"/>
        <v>46243</v>
      </c>
      <c r="P5" s="11">
        <f t="shared" si="0"/>
        <v>46244</v>
      </c>
      <c r="Q5" s="12">
        <f t="shared" si="0"/>
        <v>46245</v>
      </c>
      <c r="R5" s="12">
        <f t="shared" si="0"/>
        <v>46246</v>
      </c>
      <c r="S5" s="12">
        <f t="shared" si="0"/>
        <v>46247</v>
      </c>
      <c r="T5" s="12">
        <f t="shared" si="0"/>
        <v>46248</v>
      </c>
      <c r="U5" s="12">
        <f t="shared" si="0"/>
        <v>46249</v>
      </c>
      <c r="V5" s="13">
        <f t="shared" si="0"/>
        <v>46250</v>
      </c>
      <c r="W5" s="11">
        <f t="shared" si="0"/>
        <v>46251</v>
      </c>
      <c r="X5" s="12">
        <f t="shared" si="0"/>
        <v>46252</v>
      </c>
      <c r="Y5" s="12">
        <f t="shared" si="0"/>
        <v>46253</v>
      </c>
      <c r="Z5" s="12">
        <f t="shared" si="0"/>
        <v>46254</v>
      </c>
      <c r="AA5" s="12">
        <f t="shared" si="0"/>
        <v>46255</v>
      </c>
      <c r="AB5" s="12">
        <f t="shared" si="0"/>
        <v>46256</v>
      </c>
      <c r="AC5" s="13">
        <f t="shared" si="0"/>
        <v>46257</v>
      </c>
      <c r="AD5" s="11">
        <f t="shared" si="0"/>
        <v>46258</v>
      </c>
      <c r="AE5" s="12">
        <f t="shared" si="0"/>
        <v>46259</v>
      </c>
      <c r="AF5" s="12">
        <f t="shared" si="0"/>
        <v>46260</v>
      </c>
      <c r="AG5" s="12">
        <f t="shared" si="0"/>
        <v>46261</v>
      </c>
      <c r="AH5" s="12">
        <f t="shared" si="0"/>
        <v>46262</v>
      </c>
      <c r="AI5" s="12">
        <f t="shared" si="0"/>
        <v>46263</v>
      </c>
      <c r="AJ5" s="13">
        <f t="shared" si="0"/>
        <v>46264</v>
      </c>
      <c r="AK5" s="11">
        <f t="shared" si="0"/>
        <v>46265</v>
      </c>
      <c r="AL5" s="12">
        <f t="shared" si="0"/>
        <v>46266</v>
      </c>
      <c r="AM5" s="12">
        <f t="shared" si="0"/>
        <v>46267</v>
      </c>
      <c r="AN5" s="12">
        <f t="shared" si="0"/>
        <v>46268</v>
      </c>
      <c r="AO5" s="12">
        <f t="shared" si="0"/>
        <v>46269</v>
      </c>
      <c r="AP5" s="12">
        <f t="shared" ref="AP5:BL5" si="1">AO5+1</f>
        <v>46270</v>
      </c>
      <c r="AQ5" s="13">
        <f t="shared" si="1"/>
        <v>46271</v>
      </c>
      <c r="AR5" s="11">
        <f t="shared" si="1"/>
        <v>46272</v>
      </c>
      <c r="AS5" s="12">
        <f t="shared" si="1"/>
        <v>46273</v>
      </c>
      <c r="AT5" s="12">
        <f t="shared" si="1"/>
        <v>46274</v>
      </c>
      <c r="AU5" s="12">
        <f t="shared" si="1"/>
        <v>46275</v>
      </c>
      <c r="AV5" s="12">
        <f t="shared" si="1"/>
        <v>46276</v>
      </c>
      <c r="AW5" s="12">
        <f t="shared" si="1"/>
        <v>46277</v>
      </c>
      <c r="AX5" s="13">
        <f t="shared" si="1"/>
        <v>46278</v>
      </c>
      <c r="AY5" s="11">
        <f t="shared" si="1"/>
        <v>46279</v>
      </c>
      <c r="AZ5" s="12">
        <f t="shared" si="1"/>
        <v>46280</v>
      </c>
      <c r="BA5" s="12">
        <f t="shared" si="1"/>
        <v>46281</v>
      </c>
      <c r="BB5" s="12">
        <f t="shared" si="1"/>
        <v>46282</v>
      </c>
      <c r="BC5" s="12">
        <f t="shared" si="1"/>
        <v>46283</v>
      </c>
      <c r="BD5" s="12">
        <f t="shared" si="1"/>
        <v>46284</v>
      </c>
      <c r="BE5" s="13">
        <f t="shared" si="1"/>
        <v>46285</v>
      </c>
      <c r="BF5" s="11">
        <f t="shared" si="1"/>
        <v>46286</v>
      </c>
      <c r="BG5" s="12">
        <f t="shared" si="1"/>
        <v>46287</v>
      </c>
      <c r="BH5" s="12">
        <f t="shared" si="1"/>
        <v>46288</v>
      </c>
      <c r="BI5" s="12">
        <f t="shared" si="1"/>
        <v>46289</v>
      </c>
      <c r="BJ5" s="12">
        <f t="shared" si="1"/>
        <v>46290</v>
      </c>
      <c r="BK5" s="12">
        <f t="shared" si="1"/>
        <v>46291</v>
      </c>
      <c r="BL5" s="13">
        <f t="shared" si="1"/>
        <v>46292</v>
      </c>
      <c r="BM5" s="11">
        <f t="shared" ref="BM5" si="2">BL5+1</f>
        <v>46293</v>
      </c>
      <c r="BN5" s="11">
        <f t="shared" ref="BN5" si="3">BM5+1</f>
        <v>46294</v>
      </c>
      <c r="BO5" s="11">
        <f t="shared" ref="BO5" si="4">BN5+1</f>
        <v>46295</v>
      </c>
      <c r="BP5" s="11">
        <f t="shared" ref="BP5" si="5">BO5+1</f>
        <v>46296</v>
      </c>
      <c r="BQ5" s="11">
        <f t="shared" ref="BQ5" si="6">BP5+1</f>
        <v>46297</v>
      </c>
      <c r="BR5" s="11">
        <f t="shared" ref="BR5" si="7">BQ5+1</f>
        <v>46298</v>
      </c>
      <c r="BS5" s="11">
        <f t="shared" ref="BS5" si="8">BR5+1</f>
        <v>46299</v>
      </c>
      <c r="BT5" s="11">
        <f t="shared" ref="BT5" si="9">BS5+1</f>
        <v>46300</v>
      </c>
      <c r="BU5" s="11">
        <f t="shared" ref="BU5" si="10">BT5+1</f>
        <v>46301</v>
      </c>
      <c r="BV5" s="11">
        <f t="shared" ref="BV5" si="11">BU5+1</f>
        <v>46302</v>
      </c>
      <c r="BW5" s="11">
        <f t="shared" ref="BW5" si="12">BV5+1</f>
        <v>46303</v>
      </c>
      <c r="BX5" s="11">
        <f t="shared" ref="BX5" si="13">BW5+1</f>
        <v>46304</v>
      </c>
      <c r="BY5" s="11">
        <f t="shared" ref="BY5" si="14">BX5+1</f>
        <v>46305</v>
      </c>
      <c r="BZ5" s="11">
        <f t="shared" ref="BZ5" si="15">BY5+1</f>
        <v>46306</v>
      </c>
      <c r="CA5" s="11">
        <f t="shared" ref="CA5" si="16">BZ5+1</f>
        <v>46307</v>
      </c>
      <c r="CB5" s="11">
        <f t="shared" ref="CB5" si="17">CA5+1</f>
        <v>46308</v>
      </c>
      <c r="CC5" s="11">
        <f t="shared" ref="CC5" si="18">CB5+1</f>
        <v>46309</v>
      </c>
      <c r="CD5" s="11">
        <f t="shared" ref="CD5" si="19">CC5+1</f>
        <v>46310</v>
      </c>
      <c r="CE5" s="11">
        <f t="shared" ref="CE5" si="20">CD5+1</f>
        <v>46311</v>
      </c>
      <c r="CF5" s="11">
        <f t="shared" ref="CF5" si="21">CE5+1</f>
        <v>46312</v>
      </c>
      <c r="CG5" s="11">
        <f t="shared" ref="CG5" si="22">CF5+1</f>
        <v>46313</v>
      </c>
      <c r="CH5" s="11">
        <f t="shared" ref="CH5" si="23">CG5+1</f>
        <v>46314</v>
      </c>
      <c r="CI5" s="11">
        <f t="shared" ref="CI5" si="24">CH5+1</f>
        <v>46315</v>
      </c>
      <c r="CJ5" s="11">
        <f t="shared" ref="CJ5" si="25">CI5+1</f>
        <v>46316</v>
      </c>
      <c r="CK5" s="11">
        <f t="shared" ref="CK5" si="26">CJ5+1</f>
        <v>46317</v>
      </c>
      <c r="CL5" s="11">
        <f t="shared" ref="CL5" si="27">CK5+1</f>
        <v>46318</v>
      </c>
      <c r="CM5" s="11">
        <f t="shared" ref="CM5" si="28">CL5+1</f>
        <v>46319</v>
      </c>
      <c r="CN5" s="11">
        <f t="shared" ref="CN5" si="29">CM5+1</f>
        <v>46320</v>
      </c>
      <c r="CO5" s="11">
        <f t="shared" ref="CO5" si="30">CN5+1</f>
        <v>46321</v>
      </c>
      <c r="CP5" s="11">
        <f t="shared" ref="CP5" si="31">CO5+1</f>
        <v>46322</v>
      </c>
      <c r="CQ5" s="11">
        <f t="shared" ref="CQ5" si="32">CP5+1</f>
        <v>46323</v>
      </c>
      <c r="CR5" s="11">
        <f t="shared" ref="CR5" si="33">CQ5+1</f>
        <v>46324</v>
      </c>
      <c r="CS5" s="11">
        <f t="shared" ref="CS5" si="34">CR5+1</f>
        <v>46325</v>
      </c>
      <c r="CT5" s="11">
        <f t="shared" ref="CT5" si="35">CS5+1</f>
        <v>46326</v>
      </c>
      <c r="CU5" s="11">
        <f t="shared" ref="CU5" si="36">CT5+1</f>
        <v>46327</v>
      </c>
      <c r="CV5" s="11">
        <f t="shared" ref="CV5" si="37">CU5+1</f>
        <v>46328</v>
      </c>
      <c r="CW5" s="11">
        <f t="shared" ref="CW5" si="38">CV5+1</f>
        <v>46329</v>
      </c>
      <c r="CX5" s="11">
        <f t="shared" ref="CX5" si="39">CW5+1</f>
        <v>46330</v>
      </c>
      <c r="CY5" s="11">
        <f t="shared" ref="CY5" si="40">CX5+1</f>
        <v>46331</v>
      </c>
      <c r="CZ5" s="11">
        <f t="shared" ref="CZ5" si="41">CY5+1</f>
        <v>46332</v>
      </c>
      <c r="DA5" s="11">
        <f t="shared" ref="DA5" si="42">CZ5+1</f>
        <v>46333</v>
      </c>
      <c r="DB5" s="11">
        <f t="shared" ref="DB5" si="43">DA5+1</f>
        <v>46334</v>
      </c>
      <c r="DC5" s="11">
        <f t="shared" ref="DC5" si="44">DB5+1</f>
        <v>46335</v>
      </c>
      <c r="DD5" s="11">
        <f t="shared" ref="DD5" si="45">DC5+1</f>
        <v>46336</v>
      </c>
      <c r="DE5" s="11">
        <f t="shared" ref="DE5" si="46">DD5+1</f>
        <v>46337</v>
      </c>
      <c r="DF5" s="11">
        <f t="shared" ref="DF5" si="47">DE5+1</f>
        <v>46338</v>
      </c>
      <c r="DG5" s="11">
        <f t="shared" ref="DG5" si="48">DF5+1</f>
        <v>46339</v>
      </c>
      <c r="DH5" s="11">
        <f t="shared" ref="DH5" si="49">DG5+1</f>
        <v>46340</v>
      </c>
      <c r="DI5" s="11">
        <f t="shared" ref="DI5" si="50">DH5+1</f>
        <v>46341</v>
      </c>
    </row>
    <row r="6" spans="1:113" ht="29.25" customHeight="1" thickBot="1" x14ac:dyDescent="0.35">
      <c r="A6" s="14"/>
      <c r="B6" s="15" t="s">
        <v>3</v>
      </c>
      <c r="C6" s="16" t="s">
        <v>4</v>
      </c>
      <c r="D6" s="16" t="s">
        <v>5</v>
      </c>
      <c r="E6" s="16" t="s">
        <v>6</v>
      </c>
      <c r="F6" s="16" t="s">
        <v>7</v>
      </c>
      <c r="G6" s="16"/>
      <c r="H6" s="16" t="s">
        <v>8</v>
      </c>
      <c r="I6" s="17" t="str">
        <f t="shared" ref="I6:AN6" si="51">LEFT(TEXT(I5,"ddd"),1)</f>
        <v>M</v>
      </c>
      <c r="J6" s="17" t="str">
        <f t="shared" si="51"/>
        <v>T</v>
      </c>
      <c r="K6" s="17" t="str">
        <f t="shared" si="51"/>
        <v>W</v>
      </c>
      <c r="L6" s="17" t="str">
        <f t="shared" si="51"/>
        <v>T</v>
      </c>
      <c r="M6" s="17" t="str">
        <f t="shared" si="51"/>
        <v>F</v>
      </c>
      <c r="N6" s="17" t="str">
        <f t="shared" si="51"/>
        <v>S</v>
      </c>
      <c r="O6" s="17" t="str">
        <f t="shared" si="51"/>
        <v>S</v>
      </c>
      <c r="P6" s="17" t="str">
        <f t="shared" si="51"/>
        <v>M</v>
      </c>
      <c r="Q6" s="17" t="str">
        <f t="shared" si="51"/>
        <v>T</v>
      </c>
      <c r="R6" s="17" t="str">
        <f t="shared" si="51"/>
        <v>W</v>
      </c>
      <c r="S6" s="17" t="str">
        <f t="shared" si="51"/>
        <v>T</v>
      </c>
      <c r="T6" s="17" t="str">
        <f t="shared" si="51"/>
        <v>F</v>
      </c>
      <c r="U6" s="17" t="str">
        <f t="shared" si="51"/>
        <v>S</v>
      </c>
      <c r="V6" s="17" t="str">
        <f t="shared" si="51"/>
        <v>S</v>
      </c>
      <c r="W6" s="17" t="str">
        <f t="shared" si="51"/>
        <v>M</v>
      </c>
      <c r="X6" s="17" t="str">
        <f t="shared" si="51"/>
        <v>T</v>
      </c>
      <c r="Y6" s="17" t="str">
        <f t="shared" si="51"/>
        <v>W</v>
      </c>
      <c r="Z6" s="17" t="str">
        <f t="shared" si="51"/>
        <v>T</v>
      </c>
      <c r="AA6" s="17" t="str">
        <f t="shared" si="51"/>
        <v>F</v>
      </c>
      <c r="AB6" s="17" t="str">
        <f t="shared" si="51"/>
        <v>S</v>
      </c>
      <c r="AC6" s="17" t="str">
        <f t="shared" si="51"/>
        <v>S</v>
      </c>
      <c r="AD6" s="17" t="str">
        <f t="shared" si="51"/>
        <v>M</v>
      </c>
      <c r="AE6" s="17" t="str">
        <f t="shared" si="51"/>
        <v>T</v>
      </c>
      <c r="AF6" s="17" t="str">
        <f t="shared" si="51"/>
        <v>W</v>
      </c>
      <c r="AG6" s="17" t="str">
        <f t="shared" si="51"/>
        <v>T</v>
      </c>
      <c r="AH6" s="17" t="str">
        <f t="shared" si="51"/>
        <v>F</v>
      </c>
      <c r="AI6" s="17" t="str">
        <f t="shared" si="51"/>
        <v>S</v>
      </c>
      <c r="AJ6" s="17" t="str">
        <f t="shared" si="51"/>
        <v>S</v>
      </c>
      <c r="AK6" s="17" t="str">
        <f t="shared" si="51"/>
        <v>M</v>
      </c>
      <c r="AL6" s="17" t="str">
        <f t="shared" si="51"/>
        <v>T</v>
      </c>
      <c r="AM6" s="17" t="str">
        <f t="shared" si="51"/>
        <v>W</v>
      </c>
      <c r="AN6" s="17" t="str">
        <f t="shared" si="51"/>
        <v>T</v>
      </c>
      <c r="AO6" s="17" t="str">
        <f t="shared" ref="AO6:BL6" si="52">LEFT(TEXT(AO5,"ddd"),1)</f>
        <v>F</v>
      </c>
      <c r="AP6" s="17" t="str">
        <f t="shared" si="52"/>
        <v>S</v>
      </c>
      <c r="AQ6" s="17" t="str">
        <f t="shared" si="52"/>
        <v>S</v>
      </c>
      <c r="AR6" s="17" t="str">
        <f t="shared" si="52"/>
        <v>M</v>
      </c>
      <c r="AS6" s="17" t="str">
        <f t="shared" si="52"/>
        <v>T</v>
      </c>
      <c r="AT6" s="17" t="str">
        <f t="shared" si="52"/>
        <v>W</v>
      </c>
      <c r="AU6" s="17" t="str">
        <f t="shared" si="52"/>
        <v>T</v>
      </c>
      <c r="AV6" s="17" t="str">
        <f t="shared" si="52"/>
        <v>F</v>
      </c>
      <c r="AW6" s="17" t="str">
        <f t="shared" si="52"/>
        <v>S</v>
      </c>
      <c r="AX6" s="17" t="str">
        <f t="shared" si="52"/>
        <v>S</v>
      </c>
      <c r="AY6" s="17" t="str">
        <f t="shared" si="52"/>
        <v>M</v>
      </c>
      <c r="AZ6" s="17" t="str">
        <f t="shared" si="52"/>
        <v>T</v>
      </c>
      <c r="BA6" s="17" t="str">
        <f t="shared" si="52"/>
        <v>W</v>
      </c>
      <c r="BB6" s="17" t="str">
        <f t="shared" si="52"/>
        <v>T</v>
      </c>
      <c r="BC6" s="17" t="str">
        <f t="shared" si="52"/>
        <v>F</v>
      </c>
      <c r="BD6" s="17" t="str">
        <f t="shared" si="52"/>
        <v>S</v>
      </c>
      <c r="BE6" s="17" t="str">
        <f t="shared" si="52"/>
        <v>S</v>
      </c>
      <c r="BF6" s="17" t="str">
        <f t="shared" si="52"/>
        <v>M</v>
      </c>
      <c r="BG6" s="17" t="str">
        <f t="shared" si="52"/>
        <v>T</v>
      </c>
      <c r="BH6" s="17" t="str">
        <f t="shared" si="52"/>
        <v>W</v>
      </c>
      <c r="BI6" s="17" t="str">
        <f t="shared" si="52"/>
        <v>T</v>
      </c>
      <c r="BJ6" s="17" t="str">
        <f t="shared" si="52"/>
        <v>F</v>
      </c>
      <c r="BK6" s="17" t="str">
        <f t="shared" si="52"/>
        <v>S</v>
      </c>
      <c r="BL6" s="17" t="str">
        <f t="shared" si="52"/>
        <v>S</v>
      </c>
      <c r="BM6" s="17" t="str">
        <f t="shared" ref="BM6" si="53">LEFT(TEXT(BM5,"ddd"),1)</f>
        <v>M</v>
      </c>
      <c r="BN6" s="17" t="str">
        <f t="shared" ref="BN6:DI6" si="54">LEFT(TEXT(BN5,"ddd"),1)</f>
        <v>T</v>
      </c>
      <c r="BO6" s="17" t="str">
        <f t="shared" si="54"/>
        <v>W</v>
      </c>
      <c r="BP6" s="17" t="str">
        <f t="shared" si="54"/>
        <v>T</v>
      </c>
      <c r="BQ6" s="17" t="str">
        <f t="shared" si="54"/>
        <v>F</v>
      </c>
      <c r="BR6" s="17" t="str">
        <f t="shared" si="54"/>
        <v>S</v>
      </c>
      <c r="BS6" s="17" t="str">
        <f t="shared" si="54"/>
        <v>S</v>
      </c>
      <c r="BT6" s="17" t="str">
        <f t="shared" si="54"/>
        <v>M</v>
      </c>
      <c r="BU6" s="17" t="str">
        <f t="shared" si="54"/>
        <v>T</v>
      </c>
      <c r="BV6" s="17" t="str">
        <f t="shared" si="54"/>
        <v>W</v>
      </c>
      <c r="BW6" s="17" t="str">
        <f t="shared" si="54"/>
        <v>T</v>
      </c>
      <c r="BX6" s="17" t="str">
        <f t="shared" si="54"/>
        <v>F</v>
      </c>
      <c r="BY6" s="17" t="str">
        <f t="shared" si="54"/>
        <v>S</v>
      </c>
      <c r="BZ6" s="17" t="str">
        <f t="shared" si="54"/>
        <v>S</v>
      </c>
      <c r="CA6" s="17" t="str">
        <f t="shared" si="54"/>
        <v>M</v>
      </c>
      <c r="CB6" s="17" t="str">
        <f t="shared" si="54"/>
        <v>T</v>
      </c>
      <c r="CC6" s="17" t="str">
        <f t="shared" si="54"/>
        <v>W</v>
      </c>
      <c r="CD6" s="17" t="str">
        <f t="shared" si="54"/>
        <v>T</v>
      </c>
      <c r="CE6" s="17" t="str">
        <f t="shared" si="54"/>
        <v>F</v>
      </c>
      <c r="CF6" s="17" t="str">
        <f t="shared" si="54"/>
        <v>S</v>
      </c>
      <c r="CG6" s="17" t="str">
        <f t="shared" si="54"/>
        <v>S</v>
      </c>
      <c r="CH6" s="17" t="str">
        <f t="shared" si="54"/>
        <v>M</v>
      </c>
      <c r="CI6" s="17" t="str">
        <f t="shared" si="54"/>
        <v>T</v>
      </c>
      <c r="CJ6" s="17" t="str">
        <f t="shared" si="54"/>
        <v>W</v>
      </c>
      <c r="CK6" s="17" t="str">
        <f t="shared" si="54"/>
        <v>T</v>
      </c>
      <c r="CL6" s="17" t="str">
        <f t="shared" si="54"/>
        <v>F</v>
      </c>
      <c r="CM6" s="17" t="str">
        <f t="shared" si="54"/>
        <v>S</v>
      </c>
      <c r="CN6" s="17" t="str">
        <f t="shared" si="54"/>
        <v>S</v>
      </c>
      <c r="CO6" s="17" t="str">
        <f t="shared" si="54"/>
        <v>M</v>
      </c>
      <c r="CP6" s="17" t="str">
        <f t="shared" si="54"/>
        <v>T</v>
      </c>
      <c r="CQ6" s="17" t="str">
        <f t="shared" si="54"/>
        <v>W</v>
      </c>
      <c r="CR6" s="17" t="str">
        <f t="shared" si="54"/>
        <v>T</v>
      </c>
      <c r="CS6" s="17" t="str">
        <f t="shared" si="54"/>
        <v>F</v>
      </c>
      <c r="CT6" s="17" t="str">
        <f t="shared" si="54"/>
        <v>S</v>
      </c>
      <c r="CU6" s="17" t="str">
        <f t="shared" si="54"/>
        <v>S</v>
      </c>
      <c r="CV6" s="17" t="str">
        <f t="shared" si="54"/>
        <v>M</v>
      </c>
      <c r="CW6" s="17" t="str">
        <f t="shared" si="54"/>
        <v>T</v>
      </c>
      <c r="CX6" s="17" t="str">
        <f t="shared" si="54"/>
        <v>W</v>
      </c>
      <c r="CY6" s="17" t="str">
        <f t="shared" si="54"/>
        <v>T</v>
      </c>
      <c r="CZ6" s="17" t="str">
        <f t="shared" si="54"/>
        <v>F</v>
      </c>
      <c r="DA6" s="17" t="str">
        <f t="shared" si="54"/>
        <v>S</v>
      </c>
      <c r="DB6" s="17" t="str">
        <f t="shared" si="54"/>
        <v>S</v>
      </c>
      <c r="DC6" s="17" t="str">
        <f t="shared" si="54"/>
        <v>M</v>
      </c>
      <c r="DD6" s="17" t="str">
        <f t="shared" si="54"/>
        <v>T</v>
      </c>
      <c r="DE6" s="17" t="str">
        <f t="shared" si="54"/>
        <v>W</v>
      </c>
      <c r="DF6" s="17" t="str">
        <f t="shared" si="54"/>
        <v>T</v>
      </c>
      <c r="DG6" s="17" t="str">
        <f t="shared" si="54"/>
        <v>F</v>
      </c>
      <c r="DH6" s="17" t="str">
        <f t="shared" si="54"/>
        <v>S</v>
      </c>
      <c r="DI6" s="17" t="str">
        <f t="shared" si="54"/>
        <v>S</v>
      </c>
    </row>
    <row r="7" spans="1:113" s="25" customFormat="1" ht="21.75" customHeight="1" thickBot="1" x14ac:dyDescent="0.35">
      <c r="A7" s="14"/>
      <c r="B7" s="18"/>
      <c r="C7" s="19"/>
      <c r="D7" s="20"/>
      <c r="E7" s="21"/>
      <c r="F7" s="22"/>
      <c r="G7" s="23"/>
      <c r="H7" s="23" t="str">
        <f t="shared" ref="H7:H41" si="55">IF(OR(ISBLANK(task_start),ISBLANK(task_end)),"",task_end-task_start+1)</f>
        <v/>
      </c>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c r="BX7" s="24"/>
      <c r="BY7" s="24"/>
      <c r="BZ7" s="24"/>
      <c r="CA7" s="24"/>
      <c r="CB7" s="24"/>
      <c r="CC7" s="24"/>
      <c r="CD7" s="24"/>
      <c r="CE7" s="24"/>
      <c r="CF7" s="24"/>
      <c r="CG7" s="24"/>
      <c r="CH7" s="24"/>
      <c r="CI7" s="24"/>
      <c r="CJ7" s="24"/>
      <c r="CK7" s="24"/>
      <c r="CL7" s="24"/>
      <c r="CM7" s="24"/>
      <c r="CN7" s="24"/>
      <c r="CO7" s="24"/>
      <c r="CP7" s="24"/>
      <c r="CQ7" s="24"/>
      <c r="CR7" s="24"/>
      <c r="CS7" s="24"/>
      <c r="CT7" s="24"/>
      <c r="CU7" s="24"/>
      <c r="CV7" s="24"/>
      <c r="CW7" s="24"/>
      <c r="CX7" s="24"/>
      <c r="CY7" s="24"/>
      <c r="CZ7" s="24"/>
      <c r="DA7" s="24"/>
      <c r="DB7" s="24"/>
      <c r="DC7" s="24"/>
      <c r="DD7" s="24"/>
      <c r="DE7" s="24"/>
      <c r="DF7" s="24"/>
      <c r="DG7" s="24"/>
      <c r="DH7" s="24"/>
      <c r="DI7" s="24"/>
    </row>
    <row r="8" spans="1:113" s="25" customFormat="1" ht="21.75" customHeight="1" thickBot="1" x14ac:dyDescent="0.35">
      <c r="A8" s="14"/>
      <c r="B8" s="26" t="s">
        <v>9</v>
      </c>
      <c r="C8" s="27"/>
      <c r="D8" s="28"/>
      <c r="E8" s="29"/>
      <c r="F8" s="30"/>
      <c r="G8" s="23"/>
      <c r="H8" s="23" t="str">
        <f t="shared" si="55"/>
        <v/>
      </c>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c r="DB8" s="24"/>
      <c r="DC8" s="24"/>
      <c r="DD8" s="24"/>
      <c r="DE8" s="24"/>
      <c r="DF8" s="24"/>
      <c r="DG8" s="24"/>
      <c r="DH8" s="24"/>
      <c r="DI8" s="24"/>
    </row>
    <row r="9" spans="1:113" s="25" customFormat="1" ht="21.75" customHeight="1" thickBot="1" x14ac:dyDescent="0.35">
      <c r="A9" s="14"/>
      <c r="B9" s="31" t="s">
        <v>10</v>
      </c>
      <c r="C9" s="32" t="s">
        <v>56</v>
      </c>
      <c r="D9" s="33">
        <v>1</v>
      </c>
      <c r="E9" s="34">
        <v>46239</v>
      </c>
      <c r="F9" s="35">
        <v>46241</v>
      </c>
      <c r="G9" s="23"/>
      <c r="H9" s="23">
        <f t="shared" si="55"/>
        <v>3</v>
      </c>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c r="CW9" s="24"/>
      <c r="CX9" s="24"/>
      <c r="CY9" s="24"/>
      <c r="CZ9" s="24"/>
      <c r="DA9" s="24"/>
      <c r="DB9" s="24"/>
      <c r="DC9" s="24"/>
      <c r="DD9" s="24"/>
      <c r="DE9" s="24"/>
      <c r="DF9" s="24"/>
      <c r="DG9" s="24"/>
      <c r="DH9" s="24"/>
      <c r="DI9" s="24"/>
    </row>
    <row r="10" spans="1:113" s="25" customFormat="1" ht="21.75" customHeight="1" thickBot="1" x14ac:dyDescent="0.35">
      <c r="A10" s="14"/>
      <c r="B10" s="31" t="s">
        <v>11</v>
      </c>
      <c r="C10" s="32" t="s">
        <v>57</v>
      </c>
      <c r="D10" s="33">
        <v>1</v>
      </c>
      <c r="E10" s="34">
        <v>46240</v>
      </c>
      <c r="F10" s="35">
        <v>46243</v>
      </c>
      <c r="G10" s="23"/>
      <c r="H10" s="23">
        <f t="shared" si="55"/>
        <v>4</v>
      </c>
      <c r="I10" s="24"/>
      <c r="J10" s="24"/>
      <c r="K10" s="24"/>
      <c r="L10" s="24"/>
      <c r="M10" s="24"/>
      <c r="N10" s="24"/>
      <c r="O10" s="24"/>
      <c r="P10" s="24"/>
      <c r="Q10" s="24"/>
      <c r="R10" s="24"/>
      <c r="S10" s="24"/>
      <c r="T10" s="24"/>
      <c r="U10" s="36"/>
      <c r="V10" s="36"/>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c r="DB10" s="24"/>
      <c r="DC10" s="24"/>
      <c r="DD10" s="24"/>
      <c r="DE10" s="24"/>
      <c r="DF10" s="24"/>
      <c r="DG10" s="24"/>
      <c r="DH10" s="24"/>
      <c r="DI10" s="24"/>
    </row>
    <row r="11" spans="1:113" s="25" customFormat="1" ht="21.75" customHeight="1" thickBot="1" x14ac:dyDescent="0.35">
      <c r="A11" s="14"/>
      <c r="B11" s="31" t="s">
        <v>12</v>
      </c>
      <c r="C11" s="32" t="s">
        <v>57</v>
      </c>
      <c r="D11" s="33">
        <v>0.5</v>
      </c>
      <c r="E11" s="34">
        <v>46242</v>
      </c>
      <c r="F11" s="35">
        <v>46252</v>
      </c>
      <c r="G11" s="23"/>
      <c r="H11" s="23">
        <f t="shared" si="55"/>
        <v>11</v>
      </c>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row>
    <row r="12" spans="1:113" s="25" customFormat="1" ht="21.75" customHeight="1" thickBot="1" x14ac:dyDescent="0.35">
      <c r="A12" s="14"/>
      <c r="B12" s="31" t="s">
        <v>13</v>
      </c>
      <c r="C12" s="32" t="s">
        <v>56</v>
      </c>
      <c r="D12" s="33">
        <v>0.6</v>
      </c>
      <c r="E12" s="34">
        <v>46247</v>
      </c>
      <c r="F12" s="35">
        <v>46259</v>
      </c>
      <c r="G12" s="23"/>
      <c r="H12" s="23">
        <f t="shared" si="55"/>
        <v>13</v>
      </c>
      <c r="I12" s="24"/>
      <c r="J12" s="24"/>
      <c r="K12" s="24"/>
      <c r="L12" s="24"/>
      <c r="M12" s="24"/>
      <c r="N12" s="24"/>
      <c r="O12" s="24"/>
      <c r="P12" s="24"/>
      <c r="Q12" s="24"/>
      <c r="R12" s="24"/>
      <c r="S12" s="24"/>
      <c r="T12" s="24"/>
      <c r="U12" s="24"/>
      <c r="V12" s="24"/>
      <c r="W12" s="24"/>
      <c r="X12" s="24"/>
      <c r="Y12" s="36"/>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c r="DB12" s="24"/>
      <c r="DC12" s="24"/>
      <c r="DD12" s="24"/>
      <c r="DE12" s="24"/>
      <c r="DF12" s="24"/>
      <c r="DG12" s="24"/>
      <c r="DH12" s="24"/>
      <c r="DI12" s="24"/>
    </row>
    <row r="13" spans="1:113" s="25" customFormat="1" ht="21.75" customHeight="1" thickBot="1" x14ac:dyDescent="0.35">
      <c r="A13" s="14"/>
      <c r="B13" s="37" t="s">
        <v>14</v>
      </c>
      <c r="C13" s="38"/>
      <c r="D13" s="39"/>
      <c r="E13" s="40"/>
      <c r="F13" s="41"/>
      <c r="G13" s="23"/>
      <c r="H13" s="23" t="str">
        <f t="shared" si="55"/>
        <v/>
      </c>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row>
    <row r="14" spans="1:113" s="25" customFormat="1" ht="21.75" customHeight="1" thickBot="1" x14ac:dyDescent="0.35">
      <c r="A14" s="14"/>
      <c r="B14" s="42" t="s">
        <v>15</v>
      </c>
      <c r="C14" s="43" t="s">
        <v>56</v>
      </c>
      <c r="D14" s="44">
        <v>1</v>
      </c>
      <c r="E14" s="45">
        <v>46260</v>
      </c>
      <c r="F14" s="46">
        <v>46262</v>
      </c>
      <c r="G14" s="23"/>
      <c r="H14" s="23">
        <f t="shared" si="55"/>
        <v>3</v>
      </c>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c r="DB14" s="24"/>
      <c r="DC14" s="24"/>
      <c r="DD14" s="24"/>
      <c r="DE14" s="24"/>
      <c r="DF14" s="24"/>
      <c r="DG14" s="24"/>
      <c r="DH14" s="24"/>
      <c r="DI14" s="24"/>
    </row>
    <row r="15" spans="1:113" s="25" customFormat="1" ht="21.75" customHeight="1" thickBot="1" x14ac:dyDescent="0.35">
      <c r="A15" s="14"/>
      <c r="B15" s="42" t="s">
        <v>58</v>
      </c>
      <c r="C15" s="43" t="s">
        <v>56</v>
      </c>
      <c r="D15" s="44">
        <v>1</v>
      </c>
      <c r="E15" s="45">
        <v>46261</v>
      </c>
      <c r="F15" s="46">
        <v>46268</v>
      </c>
      <c r="G15" s="23"/>
      <c r="H15" s="23">
        <f t="shared" si="55"/>
        <v>8</v>
      </c>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c r="DC15" s="24"/>
      <c r="DD15" s="24"/>
      <c r="DE15" s="24"/>
      <c r="DF15" s="24"/>
      <c r="DG15" s="24"/>
      <c r="DH15" s="24"/>
      <c r="DI15" s="24"/>
    </row>
    <row r="16" spans="1:113" s="25" customFormat="1" ht="21.75" customHeight="1" thickBot="1" x14ac:dyDescent="0.35">
      <c r="A16" s="14"/>
      <c r="B16" s="42" t="s">
        <v>16</v>
      </c>
      <c r="C16" s="43" t="s">
        <v>56</v>
      </c>
      <c r="D16" s="44">
        <v>1</v>
      </c>
      <c r="E16" s="45">
        <v>46260</v>
      </c>
      <c r="F16" s="46">
        <v>46261</v>
      </c>
      <c r="G16" s="23"/>
      <c r="H16" s="23">
        <f t="shared" si="55"/>
        <v>2</v>
      </c>
      <c r="I16" s="24"/>
      <c r="J16" s="24"/>
      <c r="K16" s="24"/>
      <c r="L16" s="24"/>
      <c r="M16" s="24"/>
      <c r="N16" s="24"/>
      <c r="O16" s="24"/>
      <c r="P16" s="24"/>
      <c r="Q16" s="24"/>
      <c r="R16" s="24"/>
      <c r="S16" s="24"/>
      <c r="T16" s="24"/>
      <c r="U16" s="36"/>
      <c r="V16" s="36"/>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c r="DC16" s="24"/>
      <c r="DD16" s="24"/>
      <c r="DE16" s="24"/>
      <c r="DF16" s="24"/>
      <c r="DG16" s="24"/>
      <c r="DH16" s="24"/>
      <c r="DI16" s="24"/>
    </row>
    <row r="17" spans="1:113" s="25" customFormat="1" ht="21.75" customHeight="1" thickBot="1" x14ac:dyDescent="0.35">
      <c r="A17" s="14"/>
      <c r="B17" s="42" t="s">
        <v>17</v>
      </c>
      <c r="C17" s="43" t="s">
        <v>57</v>
      </c>
      <c r="D17" s="44">
        <v>0.7</v>
      </c>
      <c r="E17" s="45">
        <v>46269</v>
      </c>
      <c r="F17" s="46">
        <v>46280</v>
      </c>
      <c r="G17" s="23"/>
      <c r="H17" s="23">
        <f t="shared" si="55"/>
        <v>12</v>
      </c>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c r="DC17" s="24"/>
      <c r="DD17" s="24"/>
      <c r="DE17" s="24"/>
      <c r="DF17" s="24"/>
      <c r="DG17" s="24"/>
      <c r="DH17" s="24"/>
      <c r="DI17" s="24"/>
    </row>
    <row r="18" spans="1:113" s="25" customFormat="1" ht="21.75" customHeight="1" thickBot="1" x14ac:dyDescent="0.35">
      <c r="A18" s="14"/>
      <c r="B18" s="47" t="s">
        <v>18</v>
      </c>
      <c r="C18" s="48"/>
      <c r="D18" s="49"/>
      <c r="E18" s="50"/>
      <c r="F18" s="51"/>
      <c r="G18" s="23"/>
      <c r="H18" s="23" t="str">
        <f t="shared" si="55"/>
        <v/>
      </c>
      <c r="I18" s="24"/>
      <c r="J18" s="24"/>
      <c r="K18" s="24"/>
      <c r="L18" s="24"/>
      <c r="M18" s="24"/>
      <c r="N18" s="24"/>
      <c r="O18" s="24"/>
      <c r="P18" s="24"/>
      <c r="Q18" s="24"/>
      <c r="R18" s="24"/>
      <c r="S18" s="24"/>
      <c r="T18" s="24"/>
      <c r="U18" s="24"/>
      <c r="V18" s="24"/>
      <c r="W18" s="24"/>
      <c r="X18" s="24"/>
      <c r="Y18" s="36"/>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row>
    <row r="19" spans="1:113" s="25" customFormat="1" ht="21.75" customHeight="1" thickBot="1" x14ac:dyDescent="0.35">
      <c r="A19" s="14"/>
      <c r="B19" s="52" t="s">
        <v>19</v>
      </c>
      <c r="C19" s="53"/>
      <c r="D19" s="54">
        <v>0.5</v>
      </c>
      <c r="E19" s="55">
        <v>46281</v>
      </c>
      <c r="F19" s="56">
        <v>46287</v>
      </c>
      <c r="G19" s="23"/>
      <c r="H19" s="23">
        <f t="shared" si="55"/>
        <v>7</v>
      </c>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c r="DB19" s="24"/>
      <c r="DC19" s="24"/>
      <c r="DD19" s="24"/>
      <c r="DE19" s="24"/>
      <c r="DF19" s="24"/>
      <c r="DG19" s="24"/>
      <c r="DH19" s="24"/>
      <c r="DI19" s="24"/>
    </row>
    <row r="20" spans="1:113" s="25" customFormat="1" ht="21.75" customHeight="1" thickBot="1" x14ac:dyDescent="0.35">
      <c r="A20" s="14"/>
      <c r="B20" s="52" t="s">
        <v>20</v>
      </c>
      <c r="C20" s="53"/>
      <c r="D20" s="54">
        <v>0.3</v>
      </c>
      <c r="E20" s="55">
        <v>46286</v>
      </c>
      <c r="F20" s="56">
        <v>46293</v>
      </c>
      <c r="G20" s="23"/>
      <c r="H20" s="23">
        <f t="shared" si="55"/>
        <v>8</v>
      </c>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c r="DB20" s="24"/>
      <c r="DC20" s="24"/>
      <c r="DD20" s="24"/>
      <c r="DE20" s="24"/>
      <c r="DF20" s="24"/>
      <c r="DG20" s="24"/>
      <c r="DH20" s="24"/>
      <c r="DI20" s="24"/>
    </row>
    <row r="21" spans="1:113" s="25" customFormat="1" ht="21.75" customHeight="1" thickBot="1" x14ac:dyDescent="0.35">
      <c r="A21" s="14"/>
      <c r="B21" s="52" t="s">
        <v>21</v>
      </c>
      <c r="C21" s="53"/>
      <c r="D21" s="54">
        <v>0.7</v>
      </c>
      <c r="E21" s="55">
        <v>46292</v>
      </c>
      <c r="F21" s="56">
        <v>46298</v>
      </c>
      <c r="G21" s="23"/>
      <c r="H21" s="23">
        <f t="shared" si="55"/>
        <v>7</v>
      </c>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row>
    <row r="22" spans="1:113" s="25" customFormat="1" ht="21.75" customHeight="1" thickBot="1" x14ac:dyDescent="0.35">
      <c r="A22" s="14"/>
      <c r="B22" s="52" t="s">
        <v>22</v>
      </c>
      <c r="C22" s="53"/>
      <c r="D22" s="54">
        <v>0.5</v>
      </c>
      <c r="E22" s="55">
        <v>46295</v>
      </c>
      <c r="F22" s="56">
        <v>46300</v>
      </c>
      <c r="G22" s="23"/>
      <c r="H22" s="23">
        <f t="shared" si="55"/>
        <v>6</v>
      </c>
      <c r="I22" s="24"/>
      <c r="J22" s="24"/>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c r="DB22" s="24"/>
      <c r="DC22" s="24"/>
      <c r="DD22" s="24"/>
      <c r="DE22" s="24"/>
      <c r="DF22" s="24"/>
      <c r="DG22" s="24"/>
      <c r="DH22" s="24"/>
      <c r="DI22" s="24"/>
    </row>
    <row r="23" spans="1:113" s="25" customFormat="1" ht="21.75" customHeight="1" thickBot="1" x14ac:dyDescent="0.35">
      <c r="A23" s="14"/>
      <c r="B23" s="57" t="s">
        <v>23</v>
      </c>
      <c r="C23" s="58"/>
      <c r="D23" s="59"/>
      <c r="E23" s="60"/>
      <c r="F23" s="61"/>
      <c r="G23" s="23"/>
      <c r="H23" s="23" t="str">
        <f t="shared" si="55"/>
        <v/>
      </c>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c r="DB23" s="24"/>
      <c r="DC23" s="24"/>
      <c r="DD23" s="24"/>
      <c r="DE23" s="24"/>
      <c r="DF23" s="24"/>
      <c r="DG23" s="24"/>
      <c r="DH23" s="24"/>
      <c r="DI23" s="24"/>
    </row>
    <row r="24" spans="1:113" s="25" customFormat="1" ht="21.75" customHeight="1" thickBot="1" x14ac:dyDescent="0.35">
      <c r="A24" s="14"/>
      <c r="B24" s="62" t="s">
        <v>24</v>
      </c>
      <c r="C24" s="63" t="s">
        <v>57</v>
      </c>
      <c r="D24" s="64">
        <v>0.4</v>
      </c>
      <c r="E24" s="65">
        <v>46301</v>
      </c>
      <c r="F24" s="66">
        <v>46307</v>
      </c>
      <c r="G24" s="23"/>
      <c r="H24" s="23">
        <f t="shared" si="55"/>
        <v>7</v>
      </c>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c r="DB24" s="24"/>
      <c r="DC24" s="24"/>
      <c r="DD24" s="24"/>
      <c r="DE24" s="24"/>
      <c r="DF24" s="24"/>
      <c r="DG24" s="24"/>
      <c r="DH24" s="24"/>
      <c r="DI24" s="24"/>
    </row>
    <row r="25" spans="1:113" s="25" customFormat="1" ht="21.75" customHeight="1" thickBot="1" x14ac:dyDescent="0.35">
      <c r="A25" s="14"/>
      <c r="B25" s="62" t="s">
        <v>25</v>
      </c>
      <c r="C25" s="63" t="s">
        <v>57</v>
      </c>
      <c r="D25" s="64">
        <v>1</v>
      </c>
      <c r="E25" s="65">
        <v>46304</v>
      </c>
      <c r="F25" s="66">
        <v>46312</v>
      </c>
      <c r="G25" s="23"/>
      <c r="H25" s="23">
        <f t="shared" si="55"/>
        <v>9</v>
      </c>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c r="DB25" s="24"/>
      <c r="DC25" s="24"/>
      <c r="DD25" s="24"/>
      <c r="DE25" s="24"/>
      <c r="DF25" s="24"/>
      <c r="DG25" s="24"/>
      <c r="DH25" s="24"/>
      <c r="DI25" s="24"/>
    </row>
    <row r="26" spans="1:113" s="25" customFormat="1" ht="21.75" customHeight="1" thickBot="1" x14ac:dyDescent="0.35">
      <c r="A26" s="14"/>
      <c r="B26" s="62" t="s">
        <v>26</v>
      </c>
      <c r="C26" s="63" t="s">
        <v>57</v>
      </c>
      <c r="D26" s="64">
        <v>0.8</v>
      </c>
      <c r="E26" s="65">
        <v>46310</v>
      </c>
      <c r="F26" s="66">
        <v>46317</v>
      </c>
      <c r="G26" s="23"/>
      <c r="H26" s="23">
        <f t="shared" si="55"/>
        <v>8</v>
      </c>
      <c r="I26" s="24"/>
      <c r="J26" s="24"/>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c r="BX26" s="24"/>
      <c r="BY26" s="24"/>
      <c r="BZ26" s="24"/>
      <c r="CA26" s="24"/>
      <c r="CB26" s="24"/>
      <c r="CC26" s="24"/>
      <c r="CD26" s="24"/>
      <c r="CE26" s="24"/>
      <c r="CF26" s="24"/>
      <c r="CG26" s="24"/>
      <c r="CH26" s="24"/>
      <c r="CI26" s="24"/>
      <c r="CJ26" s="24"/>
      <c r="CK26" s="24"/>
      <c r="CL26" s="24"/>
      <c r="CM26" s="24"/>
      <c r="CN26" s="24"/>
      <c r="CO26" s="24"/>
      <c r="CP26" s="24"/>
      <c r="CQ26" s="24"/>
      <c r="CR26" s="24"/>
      <c r="CS26" s="24"/>
      <c r="CT26" s="24"/>
      <c r="CU26" s="24"/>
      <c r="CV26" s="24"/>
      <c r="CW26" s="24"/>
      <c r="CX26" s="24"/>
      <c r="CY26" s="24"/>
      <c r="CZ26" s="24"/>
      <c r="DA26" s="24"/>
      <c r="DB26" s="24"/>
      <c r="DC26" s="24"/>
      <c r="DD26" s="24"/>
      <c r="DE26" s="24"/>
      <c r="DF26" s="24"/>
      <c r="DG26" s="24"/>
      <c r="DH26" s="24"/>
      <c r="DI26" s="24"/>
    </row>
    <row r="27" spans="1:113" s="25" customFormat="1" ht="21.75" customHeight="1" thickBot="1" x14ac:dyDescent="0.35">
      <c r="A27" s="14"/>
      <c r="B27" s="62" t="s">
        <v>27</v>
      </c>
      <c r="C27" s="63" t="s">
        <v>56</v>
      </c>
      <c r="D27" s="64">
        <v>0.85</v>
      </c>
      <c r="E27" s="65">
        <v>46315</v>
      </c>
      <c r="F27" s="66">
        <v>46321</v>
      </c>
      <c r="G27" s="23"/>
      <c r="H27" s="23">
        <f t="shared" si="55"/>
        <v>7</v>
      </c>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c r="DB27" s="24"/>
      <c r="DC27" s="24"/>
      <c r="DD27" s="24"/>
      <c r="DE27" s="24"/>
      <c r="DF27" s="24"/>
      <c r="DG27" s="24"/>
      <c r="DH27" s="24"/>
      <c r="DI27" s="24"/>
    </row>
    <row r="28" spans="1:113" s="25" customFormat="1" ht="21.75" customHeight="1" thickBot="1" x14ac:dyDescent="0.35">
      <c r="A28" s="14"/>
      <c r="B28" s="67" t="s">
        <v>28</v>
      </c>
      <c r="C28" s="68"/>
      <c r="D28" s="69"/>
      <c r="E28" s="70"/>
      <c r="F28" s="71"/>
      <c r="G28" s="23"/>
      <c r="H28" s="23" t="str">
        <f t="shared" si="55"/>
        <v/>
      </c>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c r="BX28" s="24"/>
      <c r="BY28" s="24"/>
      <c r="BZ28" s="24"/>
      <c r="CA28" s="24"/>
      <c r="CB28" s="24"/>
      <c r="CC28" s="24"/>
      <c r="CD28" s="24"/>
      <c r="CE28" s="24"/>
      <c r="CF28" s="24"/>
      <c r="CG28" s="24"/>
      <c r="CH28" s="24"/>
      <c r="CI28" s="24"/>
      <c r="CJ28" s="24"/>
      <c r="CK28" s="24"/>
      <c r="CL28" s="24"/>
      <c r="CM28" s="24"/>
      <c r="CN28" s="24"/>
      <c r="CO28" s="24"/>
      <c r="CP28" s="24"/>
      <c r="CQ28" s="24"/>
      <c r="CR28" s="24"/>
      <c r="CS28" s="24"/>
      <c r="CT28" s="24"/>
      <c r="CU28" s="24"/>
      <c r="CV28" s="24"/>
      <c r="CW28" s="24"/>
      <c r="CX28" s="24"/>
      <c r="CY28" s="24"/>
      <c r="CZ28" s="24"/>
      <c r="DA28" s="24"/>
      <c r="DB28" s="24"/>
      <c r="DC28" s="24"/>
      <c r="DD28" s="24"/>
      <c r="DE28" s="24"/>
      <c r="DF28" s="24"/>
      <c r="DG28" s="24"/>
      <c r="DH28" s="24"/>
      <c r="DI28" s="24"/>
    </row>
    <row r="29" spans="1:113" s="25" customFormat="1" ht="21.75" customHeight="1" thickBot="1" x14ac:dyDescent="0.35">
      <c r="A29" s="14"/>
      <c r="B29" s="72" t="s">
        <v>29</v>
      </c>
      <c r="C29" s="73"/>
      <c r="D29" s="74">
        <v>0</v>
      </c>
      <c r="E29" s="75">
        <v>46322</v>
      </c>
      <c r="F29" s="76">
        <v>46326</v>
      </c>
      <c r="G29" s="23"/>
      <c r="H29" s="23">
        <f t="shared" si="55"/>
        <v>5</v>
      </c>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c r="DB29" s="24"/>
      <c r="DC29" s="24"/>
      <c r="DD29" s="24"/>
      <c r="DE29" s="24"/>
      <c r="DF29" s="24"/>
      <c r="DG29" s="24"/>
      <c r="DH29" s="24"/>
      <c r="DI29" s="24"/>
    </row>
    <row r="30" spans="1:113" s="25" customFormat="1" ht="21.75" customHeight="1" thickBot="1" x14ac:dyDescent="0.35">
      <c r="A30" s="14"/>
      <c r="B30" s="72" t="s">
        <v>30</v>
      </c>
      <c r="C30" s="73" t="s">
        <v>57</v>
      </c>
      <c r="D30" s="74">
        <v>0.25</v>
      </c>
      <c r="E30" s="75">
        <v>46325</v>
      </c>
      <c r="F30" s="76">
        <v>46335</v>
      </c>
      <c r="G30" s="23"/>
      <c r="H30" s="23">
        <f t="shared" si="55"/>
        <v>11</v>
      </c>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row>
    <row r="31" spans="1:113" s="25" customFormat="1" ht="21.75" customHeight="1" thickBot="1" x14ac:dyDescent="0.35">
      <c r="A31" s="14"/>
      <c r="B31" s="72" t="s">
        <v>31</v>
      </c>
      <c r="C31" s="73" t="s">
        <v>56</v>
      </c>
      <c r="D31" s="74">
        <v>0.25</v>
      </c>
      <c r="E31" s="75">
        <v>46330</v>
      </c>
      <c r="F31" s="76">
        <v>46340</v>
      </c>
      <c r="G31" s="23"/>
      <c r="H31" s="23">
        <f t="shared" si="55"/>
        <v>11</v>
      </c>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row>
    <row r="32" spans="1:113" s="25" customFormat="1" ht="21.75" customHeight="1" thickBot="1" x14ac:dyDescent="0.35">
      <c r="A32" s="14"/>
      <c r="B32" s="72" t="s">
        <v>32</v>
      </c>
      <c r="C32" s="73"/>
      <c r="D32" s="74">
        <v>0</v>
      </c>
      <c r="E32" s="75">
        <v>46336</v>
      </c>
      <c r="F32" s="76">
        <v>46342</v>
      </c>
      <c r="G32" s="23"/>
      <c r="H32" s="23">
        <f t="shared" si="55"/>
        <v>7</v>
      </c>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row>
    <row r="33" spans="1:113" s="25" customFormat="1" ht="21.75" customHeight="1" thickBot="1" x14ac:dyDescent="0.35">
      <c r="A33" s="14"/>
      <c r="B33" s="77" t="s">
        <v>33</v>
      </c>
      <c r="C33" s="78"/>
      <c r="D33" s="79"/>
      <c r="E33" s="80"/>
      <c r="F33" s="81"/>
      <c r="G33" s="23"/>
      <c r="H33" s="23" t="str">
        <f t="shared" si="55"/>
        <v/>
      </c>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row>
    <row r="34" spans="1:113" s="25" customFormat="1" ht="21.75" customHeight="1" thickBot="1" x14ac:dyDescent="0.35">
      <c r="A34" s="14"/>
      <c r="B34" s="82" t="s">
        <v>34</v>
      </c>
      <c r="C34" s="83"/>
      <c r="D34" s="84">
        <v>0</v>
      </c>
      <c r="E34" s="85">
        <v>46343</v>
      </c>
      <c r="F34" s="86">
        <v>46349</v>
      </c>
      <c r="G34" s="23"/>
      <c r="H34" s="23">
        <f t="shared" si="55"/>
        <v>7</v>
      </c>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c r="DB34" s="24"/>
      <c r="DC34" s="24"/>
      <c r="DD34" s="24"/>
      <c r="DE34" s="24"/>
      <c r="DF34" s="24"/>
      <c r="DG34" s="24"/>
      <c r="DH34" s="24"/>
      <c r="DI34" s="24"/>
    </row>
    <row r="35" spans="1:113" s="25" customFormat="1" ht="21.75" customHeight="1" thickBot="1" x14ac:dyDescent="0.35">
      <c r="A35" s="14"/>
      <c r="B35" s="82" t="s">
        <v>35</v>
      </c>
      <c r="C35" s="83"/>
      <c r="D35" s="84">
        <v>0</v>
      </c>
      <c r="E35" s="85">
        <v>46348</v>
      </c>
      <c r="F35" s="86">
        <v>46353</v>
      </c>
      <c r="G35" s="23"/>
      <c r="H35" s="23">
        <f t="shared" si="55"/>
        <v>6</v>
      </c>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c r="DB35" s="24"/>
      <c r="DC35" s="24"/>
      <c r="DD35" s="24"/>
      <c r="DE35" s="24"/>
      <c r="DF35" s="24"/>
      <c r="DG35" s="24"/>
      <c r="DH35" s="24"/>
      <c r="DI35" s="24"/>
    </row>
    <row r="36" spans="1:113" s="25" customFormat="1" ht="21.75" customHeight="1" thickBot="1" x14ac:dyDescent="0.35">
      <c r="A36" s="14"/>
      <c r="B36" s="82" t="s">
        <v>36</v>
      </c>
      <c r="C36" s="83"/>
      <c r="D36" s="84">
        <v>0</v>
      </c>
      <c r="E36" s="85">
        <v>46350</v>
      </c>
      <c r="F36" s="86">
        <v>46357</v>
      </c>
      <c r="G36" s="23"/>
      <c r="H36" s="23">
        <f t="shared" si="55"/>
        <v>8</v>
      </c>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c r="DB36" s="24"/>
      <c r="DC36" s="24"/>
      <c r="DD36" s="24"/>
      <c r="DE36" s="24"/>
      <c r="DF36" s="24"/>
      <c r="DG36" s="24"/>
      <c r="DH36" s="24"/>
      <c r="DI36" s="24"/>
    </row>
    <row r="37" spans="1:113" s="25" customFormat="1" ht="21.75" customHeight="1" thickBot="1" x14ac:dyDescent="0.35">
      <c r="A37" s="14"/>
      <c r="B37" s="82" t="s">
        <v>37</v>
      </c>
      <c r="C37" s="83"/>
      <c r="D37" s="84">
        <v>0</v>
      </c>
      <c r="E37" s="85">
        <v>46355</v>
      </c>
      <c r="F37" s="86">
        <v>46357</v>
      </c>
      <c r="G37" s="23"/>
      <c r="H37" s="23">
        <f t="shared" si="55"/>
        <v>3</v>
      </c>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c r="DB37" s="24"/>
      <c r="DC37" s="24"/>
      <c r="DD37" s="24"/>
      <c r="DE37" s="24"/>
      <c r="DF37" s="24"/>
      <c r="DG37" s="24"/>
      <c r="DH37" s="24"/>
      <c r="DI37" s="24"/>
    </row>
    <row r="38" spans="1:113" s="25" customFormat="1" ht="21.75" customHeight="1" thickBot="1" x14ac:dyDescent="0.35">
      <c r="A38" s="14"/>
      <c r="B38" s="18"/>
      <c r="C38" s="19"/>
      <c r="D38" s="20"/>
      <c r="E38" s="21"/>
      <c r="F38" s="22"/>
      <c r="G38" s="23"/>
      <c r="H38" s="23" t="str">
        <f t="shared" si="55"/>
        <v/>
      </c>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c r="DB38" s="24"/>
      <c r="DC38" s="24"/>
      <c r="DD38" s="24"/>
      <c r="DE38" s="24"/>
      <c r="DF38" s="24"/>
      <c r="DG38" s="24"/>
      <c r="DH38" s="24"/>
      <c r="DI38" s="24"/>
    </row>
    <row r="39" spans="1:113" s="25" customFormat="1" ht="21.75" customHeight="1" thickBot="1" x14ac:dyDescent="0.35">
      <c r="A39" s="14"/>
      <c r="B39" s="18"/>
      <c r="C39" s="19"/>
      <c r="D39" s="20"/>
      <c r="E39" s="21"/>
      <c r="F39" s="22"/>
      <c r="G39" s="23"/>
      <c r="H39" s="23" t="str">
        <f t="shared" si="55"/>
        <v/>
      </c>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c r="BX39" s="24"/>
      <c r="BY39" s="24"/>
      <c r="BZ39" s="24"/>
      <c r="CA39" s="24"/>
      <c r="CB39" s="24"/>
      <c r="CC39" s="24"/>
      <c r="CD39" s="24"/>
      <c r="CE39" s="24"/>
      <c r="CF39" s="24"/>
      <c r="CG39" s="24"/>
      <c r="CH39" s="24"/>
      <c r="CI39" s="24"/>
      <c r="CJ39" s="24"/>
      <c r="CK39" s="24"/>
      <c r="CL39" s="24"/>
      <c r="CM39" s="24"/>
      <c r="CN39" s="24"/>
      <c r="CO39" s="24"/>
      <c r="CP39" s="24"/>
      <c r="CQ39" s="24"/>
      <c r="CR39" s="24"/>
      <c r="CS39" s="24"/>
      <c r="CT39" s="24"/>
      <c r="CU39" s="24"/>
      <c r="CV39" s="24"/>
      <c r="CW39" s="24"/>
      <c r="CX39" s="24"/>
      <c r="CY39" s="24"/>
      <c r="CZ39" s="24"/>
      <c r="DA39" s="24"/>
      <c r="DB39" s="24"/>
      <c r="DC39" s="24"/>
      <c r="DD39" s="24"/>
      <c r="DE39" s="24"/>
      <c r="DF39" s="24"/>
      <c r="DG39" s="24"/>
      <c r="DH39" s="24"/>
      <c r="DI39" s="24"/>
    </row>
    <row r="40" spans="1:113" s="25" customFormat="1" ht="21.75" customHeight="1" thickBot="1" x14ac:dyDescent="0.35">
      <c r="A40" s="14"/>
      <c r="B40" s="18"/>
      <c r="C40" s="19"/>
      <c r="D40" s="20"/>
      <c r="E40" s="21"/>
      <c r="F40" s="22"/>
      <c r="G40" s="23"/>
      <c r="H40" s="23" t="str">
        <f t="shared" si="55"/>
        <v/>
      </c>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c r="DB40" s="24"/>
      <c r="DC40" s="24"/>
      <c r="DD40" s="24"/>
      <c r="DE40" s="24"/>
      <c r="DF40" s="24"/>
      <c r="DG40" s="24"/>
      <c r="DH40" s="24"/>
      <c r="DI40" s="24"/>
    </row>
    <row r="41" spans="1:113" s="25" customFormat="1" ht="21.75" customHeight="1" thickBot="1" x14ac:dyDescent="0.35">
      <c r="A41" s="14"/>
      <c r="B41" s="87" t="s">
        <v>38</v>
      </c>
      <c r="C41" s="88"/>
      <c r="D41" s="89"/>
      <c r="E41" s="90"/>
      <c r="F41" s="91"/>
      <c r="G41" s="92"/>
      <c r="H41" s="92" t="str">
        <f t="shared" si="55"/>
        <v/>
      </c>
      <c r="I41" s="93"/>
      <c r="J41" s="93"/>
      <c r="K41" s="93"/>
      <c r="L41" s="93"/>
      <c r="M41" s="93"/>
      <c r="N41" s="93"/>
      <c r="O41" s="93"/>
      <c r="P41" s="93"/>
      <c r="Q41" s="93"/>
      <c r="R41" s="93"/>
      <c r="S41" s="93"/>
      <c r="T41" s="93"/>
      <c r="U41" s="93"/>
      <c r="V41" s="93"/>
      <c r="W41" s="93"/>
      <c r="X41" s="93"/>
      <c r="Y41" s="93"/>
      <c r="Z41" s="93"/>
      <c r="AA41" s="93"/>
      <c r="AB41" s="93"/>
      <c r="AC41" s="93"/>
      <c r="AD41" s="93"/>
      <c r="AE41" s="93"/>
      <c r="AF41" s="93"/>
      <c r="AG41" s="93"/>
      <c r="AH41" s="93"/>
      <c r="AI41" s="93"/>
      <c r="AJ41" s="93"/>
      <c r="AK41" s="93"/>
      <c r="AL41" s="93"/>
      <c r="AM41" s="93"/>
      <c r="AN41" s="93"/>
      <c r="AO41" s="93"/>
      <c r="AP41" s="93"/>
      <c r="AQ41" s="93"/>
      <c r="AR41" s="93"/>
      <c r="AS41" s="93"/>
      <c r="AT41" s="93"/>
      <c r="AU41" s="93"/>
      <c r="AV41" s="93"/>
      <c r="AW41" s="93"/>
      <c r="AX41" s="93"/>
      <c r="AY41" s="93"/>
      <c r="AZ41" s="93"/>
      <c r="BA41" s="93"/>
      <c r="BB41" s="93"/>
      <c r="BC41" s="93"/>
      <c r="BD41" s="93"/>
      <c r="BE41" s="93"/>
      <c r="BF41" s="93"/>
      <c r="BG41" s="93"/>
      <c r="BH41" s="93"/>
      <c r="BI41" s="93"/>
      <c r="BJ41" s="93"/>
      <c r="BK41" s="93"/>
      <c r="BL41" s="93"/>
      <c r="BM41" s="93"/>
      <c r="BN41" s="93"/>
      <c r="BO41" s="93"/>
      <c r="BP41" s="93"/>
      <c r="BQ41" s="93"/>
      <c r="BR41" s="93"/>
      <c r="BS41" s="93"/>
      <c r="BT41" s="93"/>
      <c r="BU41" s="93"/>
      <c r="BV41" s="93"/>
      <c r="BW41" s="93"/>
      <c r="BX41" s="93"/>
      <c r="BY41" s="93"/>
      <c r="BZ41" s="93"/>
      <c r="CA41" s="93"/>
      <c r="CB41" s="93"/>
      <c r="CC41" s="93"/>
      <c r="CD41" s="93"/>
      <c r="CE41" s="93"/>
      <c r="CF41" s="93"/>
      <c r="CG41" s="93"/>
      <c r="CH41" s="93"/>
      <c r="CI41" s="93"/>
      <c r="CJ41" s="93"/>
      <c r="CK41" s="93"/>
      <c r="CL41" s="93"/>
      <c r="CM41" s="93"/>
      <c r="CN41" s="93"/>
      <c r="CO41" s="93"/>
      <c r="CP41" s="93"/>
      <c r="CQ41" s="93"/>
      <c r="CR41" s="93"/>
      <c r="CS41" s="93"/>
      <c r="CT41" s="93"/>
      <c r="CU41" s="93"/>
      <c r="CV41" s="93"/>
      <c r="CW41" s="93"/>
      <c r="CX41" s="93"/>
      <c r="CY41" s="93"/>
      <c r="CZ41" s="93"/>
      <c r="DA41" s="93"/>
      <c r="DB41" s="93"/>
      <c r="DC41" s="93"/>
      <c r="DD41" s="93"/>
      <c r="DE41" s="93"/>
      <c r="DF41" s="93"/>
      <c r="DG41" s="93"/>
      <c r="DH41" s="93"/>
      <c r="DI41" s="93"/>
    </row>
    <row r="42" spans="1:113" x14ac:dyDescent="0.3">
      <c r="A42" s="9"/>
      <c r="G42" s="9"/>
    </row>
    <row r="43" spans="1:113" x14ac:dyDescent="0.3">
      <c r="B43" s="94" t="s">
        <v>39</v>
      </c>
      <c r="C43" s="94"/>
      <c r="F43" s="95">
        <v>43113</v>
      </c>
    </row>
    <row r="44" spans="1:113" x14ac:dyDescent="0.3">
      <c r="B44" s="96" t="s">
        <v>40</v>
      </c>
      <c r="C44" s="97"/>
    </row>
    <row r="45" spans="1:113" x14ac:dyDescent="0.3">
      <c r="B45" s="98" t="s">
        <v>41</v>
      </c>
    </row>
  </sheetData>
  <mergeCells count="18">
    <mergeCell ref="AD4:AJ4"/>
    <mergeCell ref="AK4:AQ4"/>
    <mergeCell ref="AR4:AX4"/>
    <mergeCell ref="AY4:BE4"/>
    <mergeCell ref="BF4:BL4"/>
    <mergeCell ref="J1:AA1"/>
    <mergeCell ref="E2:F2"/>
    <mergeCell ref="E3:F3"/>
    <mergeCell ref="I4:O4"/>
    <mergeCell ref="P4:V4"/>
    <mergeCell ref="W4:AC4"/>
    <mergeCell ref="CV4:DB4"/>
    <mergeCell ref="DC4:DI4"/>
    <mergeCell ref="BM4:BS4"/>
    <mergeCell ref="BT4:BZ4"/>
    <mergeCell ref="CA4:CG4"/>
    <mergeCell ref="CH4:CN4"/>
    <mergeCell ref="CO4:CU4"/>
  </mergeCells>
  <conditionalFormatting sqref="D7:D41">
    <cfRule type="dataBar" priority="2">
      <dataBar>
        <cfvo type="num" val="0"/>
        <cfvo type="num" val="1"/>
        <color rgb="FFBFBFBF"/>
      </dataBar>
      <extLst>
        <ext xmlns:x14="http://schemas.microsoft.com/office/spreadsheetml/2009/9/main" uri="{B025F937-C7B1-47D3-B67F-A62EFF666E3E}">
          <x14:id>{4AE1E22C-C790-4A9E-BBE1-44A1CAF74DB0}</x14:id>
        </ext>
      </extLst>
    </cfRule>
  </conditionalFormatting>
  <conditionalFormatting sqref="I5:DI41">
    <cfRule type="expression" dxfId="2" priority="5">
      <formula>AND(today&gt;=I$5,today&lt;I$5+1)</formula>
    </cfRule>
  </conditionalFormatting>
  <conditionalFormatting sqref="I7:DI41">
    <cfRule type="expression" dxfId="1" priority="3">
      <formula>AND(task_start&lt;=I$5,ROUNDDOWN((task_end-task_start+1)*task_progress,0)+task_start-1&gt;=I$5)</formula>
    </cfRule>
    <cfRule type="expression" dxfId="0" priority="4">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formula2>0</formula2>
    </dataValidation>
  </dataValidations>
  <hyperlinks>
    <hyperlink ref="B43" r:id="rId1" xr:uid="{00000000-0004-0000-0000-000000000000}"/>
    <hyperlink ref="B44" r:id="rId2" xr:uid="{00000000-0004-0000-0000-000001000000}"/>
  </hyperlinks>
  <pageMargins left="0.35" right="0.35" top="0.35" bottom="0.5" header="0.511811023622047" footer="0.511811023622047"/>
  <pageSetup fitToHeight="0" orientation="landscape" horizontalDpi="300" verticalDpi="300"/>
  <legacyDrawing r:id="rId3"/>
  <extLst>
    <ext xmlns:x14="http://schemas.microsoft.com/office/spreadsheetml/2009/9/main" uri="{78C0D931-6437-407d-A8EE-F0AAD7539E65}">
      <x14:conditionalFormattings>
        <x14:conditionalFormatting xmlns:xm="http://schemas.microsoft.com/office/excel/2006/main">
          <x14:cfRule type="dataBar" id="{4AE1E22C-C790-4A9E-BBE1-44A1CAF74DB0}">
            <x14:dataBar axisPosition="none">
              <x14:cfvo type="num">
                <xm:f>0</xm:f>
              </x14:cfvo>
              <x14:cfvo type="num">
                <xm:f>1</xm:f>
              </x14:cfvo>
              <x14:negativeFillColor rgb="FFBFBFBF"/>
            </x14:dataBar>
          </x14:cfRule>
          <xm:sqref>D7:D41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109375" defaultRowHeight="13.8" x14ac:dyDescent="0.3"/>
  <cols>
    <col min="1" max="1" width="2.88671875" style="4" customWidth="1"/>
    <col min="2" max="2" width="87.109375" style="99" customWidth="1"/>
    <col min="3" max="16384" width="9.109375" style="4"/>
  </cols>
  <sheetData>
    <row r="1" spans="2:3" ht="46.5" customHeight="1" x14ac:dyDescent="0.3"/>
    <row r="2" spans="2:3" s="100" customFormat="1" ht="15.75" customHeight="1" x14ac:dyDescent="0.3">
      <c r="B2" s="101" t="s">
        <v>39</v>
      </c>
      <c r="C2" s="101"/>
    </row>
    <row r="3" spans="2:3" s="102" customFormat="1" ht="13.5" customHeight="1" x14ac:dyDescent="0.3">
      <c r="B3" s="103" t="s">
        <v>40</v>
      </c>
      <c r="C3" s="103"/>
    </row>
    <row r="4" spans="2:3" x14ac:dyDescent="0.3">
      <c r="B4" s="104" t="s">
        <v>41</v>
      </c>
    </row>
    <row r="6" spans="2:3" s="105" customFormat="1" ht="26.25" customHeight="1" x14ac:dyDescent="0.5">
      <c r="B6" s="106" t="s">
        <v>42</v>
      </c>
    </row>
    <row r="7" spans="2:3" ht="60" customHeight="1" x14ac:dyDescent="0.3">
      <c r="B7" s="107" t="s">
        <v>43</v>
      </c>
    </row>
    <row r="8" spans="2:3" ht="15" customHeight="1" x14ac:dyDescent="0.3">
      <c r="B8" s="108"/>
    </row>
    <row r="9" spans="2:3" s="105" customFormat="1" ht="26.25" customHeight="1" x14ac:dyDescent="0.5">
      <c r="B9" s="106" t="s">
        <v>44</v>
      </c>
    </row>
    <row r="10" spans="2:3" ht="60" customHeight="1" x14ac:dyDescent="0.3">
      <c r="B10" s="107" t="s">
        <v>45</v>
      </c>
    </row>
    <row r="11" spans="2:3" ht="14.25" customHeight="1" x14ac:dyDescent="0.3">
      <c r="B11" s="109" t="s">
        <v>46</v>
      </c>
    </row>
    <row r="12" spans="2:3" ht="15" customHeight="1" x14ac:dyDescent="0.3">
      <c r="B12" s="108"/>
    </row>
    <row r="13" spans="2:3" ht="14.25" customHeight="1" x14ac:dyDescent="0.3">
      <c r="B13" s="109" t="str">
        <f>HYPERLINK("https://vertex42.link/HowToMakeAGanttChart","► Watch How This Gantt Chart Was Created")</f>
        <v>► Watch How This Gantt Chart Was Created</v>
      </c>
    </row>
    <row r="14" spans="2:3" ht="15" customHeight="1" x14ac:dyDescent="0.3">
      <c r="B14" s="108"/>
    </row>
    <row r="15" spans="2:3" s="105" customFormat="1" ht="26.25" customHeight="1" x14ac:dyDescent="0.5">
      <c r="B15" s="106" t="s">
        <v>47</v>
      </c>
    </row>
    <row r="16" spans="2:3" ht="30" customHeight="1" x14ac:dyDescent="0.3">
      <c r="B16" s="107" t="s">
        <v>48</v>
      </c>
    </row>
    <row r="17" spans="2:2" ht="14.25" customHeight="1" x14ac:dyDescent="0.3">
      <c r="B17" s="109" t="s">
        <v>49</v>
      </c>
    </row>
    <row r="18" spans="2:2" ht="15" customHeight="1" x14ac:dyDescent="0.3">
      <c r="B18" s="108"/>
    </row>
    <row r="19" spans="2:2" s="105" customFormat="1" ht="26.25" customHeight="1" x14ac:dyDescent="0.5">
      <c r="B19" s="106" t="s">
        <v>50</v>
      </c>
    </row>
    <row r="20" spans="2:2" ht="60" customHeight="1" x14ac:dyDescent="0.3">
      <c r="B20" s="107" t="s">
        <v>51</v>
      </c>
    </row>
    <row r="21" spans="2:2" ht="15" customHeight="1" x14ac:dyDescent="0.3">
      <c r="B21" s="108"/>
    </row>
    <row r="22" spans="2:2" ht="75" customHeight="1" x14ac:dyDescent="0.3">
      <c r="B22" s="107" t="s">
        <v>52</v>
      </c>
    </row>
  </sheetData>
  <hyperlinks>
    <hyperlink ref="B2" r:id="rId1" xr:uid="{00000000-0004-0000-0100-000000000000}"/>
    <hyperlink ref="B3" r:id="rId2" xr:uid="{00000000-0004-0000-0100-000001000000}"/>
    <hyperlink ref="B11" r:id="rId3" xr:uid="{00000000-0004-0000-0100-000002000000}"/>
    <hyperlink ref="B17" r:id="rId4" xr:uid="{00000000-0004-0000-0100-000003000000}"/>
  </hyperlinks>
  <pageMargins left="0.5" right="0.5" top="0.5" bottom="0.5" header="0.511811023622047" footer="0.511811023622047"/>
  <pageSetup orientation="portrait" horizontalDpi="300" verticalDpi="300"/>
  <drawing r:id="rId5"/>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ProjectSchedule</vt:lpstr>
      <vt:lpstr>About</vt:lpstr>
      <vt:lpstr>ProjectSchedule!Print_Titles</vt:lpstr>
      <vt:lpstr>ProjectSchedule!task_end</vt:lpstr>
      <vt:lpstr>ProjectSchedule!task_progress</vt:lpstr>
      <vt:lpstr>ProjectSchedule!task_start</vt:lpstr>
      <vt:lpstr>ProjectSchedule!today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subject/>
  <dc:creator>Vertex42.com</dc:creator>
  <dc:description>© 2018-2019 Vertex42 LLC. All Rights Reserved.</dc:description>
  <cp:lastModifiedBy>Aditya Gupta</cp:lastModifiedBy>
  <cp:revision>0</cp:revision>
  <cp:lastPrinted>2019-04-24T14:39:40Z</cp:lastPrinted>
  <dcterms:created xsi:type="dcterms:W3CDTF">2017-01-09T18:01:51Z</dcterms:created>
  <dcterms:modified xsi:type="dcterms:W3CDTF">2026-10-28T04:34:14Z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 2019 Vertex42 LLC</vt:lpwstr>
  </property>
  <property fmtid="{D5CDD505-2E9C-101B-9397-08002B2CF9AE}" pid="3" name="Source">
    <vt:lpwstr>https://www.vertex42.com/</vt:lpwstr>
  </property>
  <property fmtid="{D5CDD505-2E9C-101B-9397-08002B2CF9AE}" pid="4" name="Version">
    <vt:lpwstr>1.0.1</vt:lpwstr>
  </property>
</Properties>
</file>